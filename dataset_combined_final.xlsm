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cbookairm1/Downloads/Thesis Proposal Ainal Irham/"/>
    </mc:Choice>
  </mc:AlternateContent>
  <xr:revisionPtr revIDLastSave="0" documentId="13_ncr:1_{AB900C21-80CF-2F4C-B93F-6DBECE3380C5}" xr6:coauthVersionLast="47" xr6:coauthVersionMax="47" xr10:uidLastSave="{00000000-0000-0000-0000-000000000000}"/>
  <bookViews>
    <workbookView xWindow="0" yWindow="500" windowWidth="33600" windowHeight="1928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59" i="1" l="1"/>
  <c r="AV64" i="1"/>
  <c r="AW64" i="1"/>
  <c r="AU60" i="1"/>
  <c r="AY94" i="1" l="1"/>
  <c r="AZ94" i="1" s="1"/>
  <c r="BA94" i="1" s="1"/>
  <c r="AU94" i="1"/>
  <c r="AV94" i="1" s="1"/>
  <c r="AW94" i="1" s="1"/>
  <c r="AU93" i="1"/>
  <c r="AV93" i="1" s="1"/>
  <c r="AW93" i="1" s="1"/>
  <c r="AU92" i="1"/>
  <c r="AV92" i="1" s="1"/>
  <c r="AW92" i="1" s="1"/>
  <c r="AU91" i="1"/>
  <c r="AV91" i="1" s="1"/>
  <c r="AW91" i="1" s="1"/>
  <c r="AU90" i="1"/>
  <c r="AV90" i="1" s="1"/>
  <c r="AW90" i="1" s="1"/>
  <c r="AV89" i="1"/>
  <c r="AW89" i="1" s="1"/>
  <c r="AU89" i="1"/>
  <c r="AU88" i="1"/>
  <c r="AV88" i="1" s="1"/>
  <c r="AW88" i="1" s="1"/>
  <c r="AU87" i="1"/>
  <c r="AV87" i="1" s="1"/>
  <c r="AW87" i="1" s="1"/>
  <c r="AU86" i="1"/>
  <c r="AV86" i="1" s="1"/>
  <c r="AW86" i="1" s="1"/>
  <c r="AU85" i="1"/>
  <c r="AV85" i="1" s="1"/>
  <c r="AW85" i="1" s="1"/>
  <c r="AU84" i="1"/>
  <c r="AV84" i="1" s="1"/>
  <c r="AW84" i="1" s="1"/>
  <c r="AU83" i="1"/>
  <c r="AV83" i="1" s="1"/>
  <c r="AW83" i="1" s="1"/>
  <c r="AU82" i="1"/>
  <c r="AV82" i="1" s="1"/>
  <c r="AW82" i="1" s="1"/>
  <c r="AU81" i="1"/>
  <c r="AV81" i="1" s="1"/>
  <c r="AW81" i="1" s="1"/>
  <c r="AU80" i="1"/>
  <c r="AV80" i="1" s="1"/>
  <c r="AW80" i="1" s="1"/>
  <c r="AU79" i="1"/>
  <c r="AV79" i="1" s="1"/>
  <c r="AW79" i="1" s="1"/>
  <c r="AU78" i="1"/>
  <c r="AV78" i="1" s="1"/>
  <c r="AW78" i="1" s="1"/>
  <c r="AU77" i="1"/>
  <c r="AV77" i="1" s="1"/>
  <c r="AW77" i="1" s="1"/>
  <c r="AU76" i="1"/>
  <c r="AV76" i="1" s="1"/>
  <c r="AW76" i="1" s="1"/>
  <c r="AU75" i="1"/>
  <c r="AV75" i="1" s="1"/>
  <c r="AW75" i="1" s="1"/>
  <c r="AU74" i="1"/>
  <c r="AV74" i="1" s="1"/>
  <c r="AW74" i="1" s="1"/>
  <c r="AU73" i="1"/>
  <c r="AV73" i="1" s="1"/>
  <c r="AW73" i="1" s="1"/>
  <c r="AU72" i="1"/>
  <c r="AV72" i="1" s="1"/>
  <c r="AW72" i="1" s="1"/>
  <c r="AU71" i="1"/>
  <c r="AV71" i="1" s="1"/>
  <c r="AW71" i="1" s="1"/>
  <c r="AU70" i="1"/>
  <c r="AV70" i="1" s="1"/>
  <c r="AW70" i="1" s="1"/>
  <c r="AU69" i="1"/>
  <c r="AV69" i="1" s="1"/>
  <c r="AW69" i="1" s="1"/>
  <c r="AU68" i="1"/>
  <c r="AV68" i="1" s="1"/>
  <c r="AW68" i="1" s="1"/>
  <c r="AU67" i="1"/>
  <c r="AV67" i="1" s="1"/>
  <c r="AW67" i="1" s="1"/>
  <c r="AU66" i="1"/>
  <c r="AV66" i="1" s="1"/>
  <c r="AW66" i="1" s="1"/>
  <c r="AU65" i="1"/>
  <c r="AV65" i="1" s="1"/>
  <c r="AW65" i="1" s="1"/>
  <c r="AU64" i="1"/>
  <c r="AU62" i="1"/>
  <c r="AV62" i="1" s="1"/>
  <c r="AW62" i="1" s="1"/>
  <c r="AU61" i="1"/>
  <c r="AV61" i="1" s="1"/>
  <c r="AW61" i="1" s="1"/>
  <c r="AV60" i="1"/>
  <c r="AW60" i="1" s="1"/>
  <c r="AV59" i="1"/>
  <c r="AW59" i="1" s="1"/>
  <c r="AU58" i="1"/>
  <c r="AV58" i="1" s="1"/>
  <c r="AW58" i="1" s="1"/>
  <c r="AU57" i="1"/>
  <c r="AV57" i="1" s="1"/>
  <c r="AW57" i="1" s="1"/>
  <c r="AU56" i="1"/>
  <c r="AV56" i="1" s="1"/>
  <c r="AW56" i="1" s="1"/>
  <c r="AU55" i="1"/>
  <c r="AV55" i="1" s="1"/>
  <c r="AW55" i="1" s="1"/>
  <c r="AU54" i="1"/>
  <c r="AV54" i="1" s="1"/>
  <c r="AW54" i="1" s="1"/>
  <c r="AU53" i="1"/>
  <c r="AV53" i="1" s="1"/>
  <c r="AW53" i="1" s="1"/>
  <c r="AU52" i="1"/>
  <c r="AV52" i="1" s="1"/>
  <c r="AW52" i="1" s="1"/>
  <c r="AU51" i="1"/>
  <c r="AV51" i="1" s="1"/>
  <c r="AW51" i="1" s="1"/>
  <c r="AU50" i="1"/>
  <c r="AV50" i="1" s="1"/>
  <c r="AW50" i="1" s="1"/>
  <c r="AU49" i="1"/>
  <c r="AV49" i="1" s="1"/>
  <c r="AW49" i="1" s="1"/>
  <c r="AU48" i="1"/>
  <c r="AV48" i="1" s="1"/>
  <c r="AW48" i="1" s="1"/>
  <c r="AU47" i="1"/>
  <c r="AV47" i="1" s="1"/>
  <c r="AW47" i="1" s="1"/>
  <c r="AU46" i="1"/>
  <c r="AV46" i="1" s="1"/>
  <c r="AW46" i="1" s="1"/>
  <c r="AU45" i="1"/>
  <c r="AV45" i="1" s="1"/>
  <c r="AW45" i="1" s="1"/>
  <c r="AU44" i="1"/>
  <c r="AV44" i="1" s="1"/>
  <c r="AW44" i="1" s="1"/>
  <c r="AU43" i="1"/>
  <c r="AV43" i="1" s="1"/>
  <c r="AW43" i="1" s="1"/>
  <c r="AU42" i="1"/>
  <c r="AV42" i="1" s="1"/>
  <c r="AW42" i="1" s="1"/>
  <c r="AU41" i="1"/>
  <c r="AV41" i="1" s="1"/>
  <c r="AW41" i="1" s="1"/>
  <c r="AU40" i="1"/>
  <c r="AV40" i="1" s="1"/>
  <c r="AW40" i="1" s="1"/>
  <c r="AU39" i="1"/>
  <c r="AV39" i="1" s="1"/>
  <c r="AW39" i="1" s="1"/>
  <c r="AU38" i="1"/>
  <c r="AV38" i="1" s="1"/>
  <c r="AW38" i="1" s="1"/>
  <c r="AU37" i="1"/>
  <c r="AV37" i="1" s="1"/>
  <c r="AW37" i="1" s="1"/>
  <c r="AU36" i="1"/>
  <c r="AV36" i="1" s="1"/>
  <c r="AW36" i="1" s="1"/>
  <c r="AU35" i="1"/>
  <c r="AV35" i="1" s="1"/>
  <c r="AW35" i="1" s="1"/>
  <c r="AU34" i="1"/>
  <c r="AV34" i="1" s="1"/>
  <c r="AW34" i="1" s="1"/>
  <c r="AI94" i="1"/>
  <c r="AH94" i="1"/>
  <c r="AL94" i="1"/>
  <c r="AN94" i="1" l="1"/>
  <c r="AM94" i="1"/>
  <c r="AO94" i="1" l="1"/>
  <c r="AP94" i="1"/>
  <c r="AU3" i="1"/>
  <c r="AV3" i="1" s="1"/>
  <c r="AW3" i="1" s="1"/>
  <c r="AU4" i="1"/>
  <c r="AV4" i="1" s="1"/>
  <c r="AW4" i="1" s="1"/>
  <c r="AU5" i="1"/>
  <c r="AV5" i="1" s="1"/>
  <c r="AW5" i="1" s="1"/>
  <c r="AU6" i="1"/>
  <c r="AV6" i="1" s="1"/>
  <c r="AW6" i="1" s="1"/>
  <c r="AU7" i="1"/>
  <c r="AV7" i="1" s="1"/>
  <c r="AW7" i="1" s="1"/>
  <c r="AU8" i="1"/>
  <c r="AV8" i="1" s="1"/>
  <c r="AW8" i="1" s="1"/>
  <c r="AU9" i="1"/>
  <c r="AV9" i="1" s="1"/>
  <c r="AW9" i="1" s="1"/>
  <c r="AU10" i="1"/>
  <c r="AV10" i="1" s="1"/>
  <c r="AW10" i="1" s="1"/>
  <c r="AU11" i="1"/>
  <c r="AV11" i="1" s="1"/>
  <c r="AW11" i="1" s="1"/>
  <c r="AU12" i="1"/>
  <c r="AV12" i="1" s="1"/>
  <c r="AW12" i="1" s="1"/>
  <c r="AU13" i="1"/>
  <c r="AV13" i="1" s="1"/>
  <c r="AW13" i="1" s="1"/>
  <c r="AU14" i="1"/>
  <c r="AV14" i="1" s="1"/>
  <c r="AW14" i="1" s="1"/>
  <c r="AU15" i="1"/>
  <c r="AV15" i="1" s="1"/>
  <c r="AW15" i="1" s="1"/>
  <c r="AU16" i="1"/>
  <c r="AV16" i="1" s="1"/>
  <c r="AW16" i="1" s="1"/>
  <c r="AU17" i="1"/>
  <c r="AV17" i="1" s="1"/>
  <c r="AW17" i="1" s="1"/>
  <c r="AU18" i="1"/>
  <c r="AV18" i="1" s="1"/>
  <c r="AW18" i="1" s="1"/>
  <c r="AU19" i="1"/>
  <c r="AV19" i="1" s="1"/>
  <c r="AW19" i="1" s="1"/>
  <c r="AU20" i="1"/>
  <c r="AV20" i="1" s="1"/>
  <c r="AW20" i="1" s="1"/>
  <c r="AU21" i="1"/>
  <c r="AV21" i="1" s="1"/>
  <c r="AW21" i="1" s="1"/>
  <c r="AU22" i="1"/>
  <c r="AV22" i="1" s="1"/>
  <c r="AW22" i="1" s="1"/>
  <c r="AU23" i="1"/>
  <c r="AV23" i="1" s="1"/>
  <c r="AW23" i="1" s="1"/>
  <c r="AU24" i="1"/>
  <c r="AV24" i="1" s="1"/>
  <c r="AW24" i="1" s="1"/>
  <c r="AU25" i="1"/>
  <c r="AV25" i="1" s="1"/>
  <c r="AW25" i="1" s="1"/>
  <c r="AU26" i="1"/>
  <c r="AV26" i="1" s="1"/>
  <c r="AW26" i="1" s="1"/>
  <c r="AU27" i="1"/>
  <c r="AV27" i="1" s="1"/>
  <c r="AW27" i="1" s="1"/>
  <c r="AU28" i="1"/>
  <c r="AV28" i="1" s="1"/>
  <c r="AW28" i="1" s="1"/>
  <c r="AU29" i="1"/>
  <c r="AV29" i="1" s="1"/>
  <c r="AW29" i="1" s="1"/>
  <c r="AU30" i="1"/>
  <c r="AV30" i="1" s="1"/>
  <c r="AW30" i="1" s="1"/>
  <c r="AU31" i="1"/>
  <c r="AV31" i="1" s="1"/>
  <c r="AW31" i="1" s="1"/>
  <c r="AU32" i="1"/>
  <c r="AV32" i="1" s="1"/>
  <c r="AW32" i="1" s="1"/>
  <c r="AU2" i="1"/>
  <c r="AV2" i="1" s="1"/>
  <c r="AW2" i="1" s="1"/>
  <c r="AY88" i="1" l="1"/>
  <c r="AZ88" i="1" s="1"/>
  <c r="BA88" i="1" s="1"/>
  <c r="AY89" i="1"/>
  <c r="AZ89" i="1" s="1"/>
  <c r="BA89" i="1" s="1"/>
  <c r="AY90" i="1"/>
  <c r="AZ90" i="1" s="1"/>
  <c r="BA90" i="1" s="1"/>
  <c r="AY91" i="1"/>
  <c r="AZ91" i="1" s="1"/>
  <c r="BA91" i="1" s="1"/>
  <c r="AY92" i="1"/>
  <c r="AZ92" i="1" s="1"/>
  <c r="BA92" i="1" s="1"/>
  <c r="AY93" i="1"/>
  <c r="AZ93" i="1" s="1"/>
  <c r="BA93" i="1" s="1"/>
  <c r="AY80" i="1" l="1"/>
  <c r="AY81" i="1"/>
  <c r="AZ81" i="1" s="1"/>
  <c r="BA81" i="1" s="1"/>
  <c r="AY82" i="1"/>
  <c r="AZ82" i="1" s="1"/>
  <c r="BA82" i="1" s="1"/>
  <c r="AY83" i="1"/>
  <c r="AZ83" i="1" s="1"/>
  <c r="BA83" i="1" s="1"/>
  <c r="AY84" i="1"/>
  <c r="AZ84" i="1" s="1"/>
  <c r="BA84" i="1" s="1"/>
  <c r="AY85" i="1"/>
  <c r="AZ85" i="1" s="1"/>
  <c r="BA85" i="1" s="1"/>
  <c r="AY86" i="1"/>
  <c r="AZ86" i="1" s="1"/>
  <c r="BA86" i="1" s="1"/>
  <c r="AY87" i="1"/>
  <c r="AZ87" i="1" s="1"/>
  <c r="BA87" i="1" s="1"/>
  <c r="AZ80" i="1"/>
  <c r="BA80" i="1" s="1"/>
  <c r="AL73" i="1"/>
  <c r="AL92" i="1"/>
  <c r="AL87" i="1"/>
  <c r="AL83" i="1"/>
  <c r="AL34" i="1"/>
  <c r="AL38" i="1"/>
  <c r="AL46" i="1"/>
  <c r="AL49" i="1"/>
  <c r="AL56" i="1"/>
  <c r="AL41" i="1"/>
  <c r="AL76" i="1"/>
  <c r="AL86" i="1"/>
  <c r="AL44" i="1"/>
  <c r="AH93" i="1"/>
  <c r="AL85" i="1"/>
  <c r="AL59" i="1"/>
  <c r="AL67" i="1"/>
  <c r="AL51" i="1"/>
  <c r="AL89" i="1"/>
  <c r="AL93" i="1"/>
  <c r="AL35" i="1"/>
  <c r="AL80" i="1"/>
  <c r="AL54" i="1"/>
  <c r="AH92" i="1"/>
  <c r="AL65" i="1"/>
  <c r="AL84" i="1"/>
  <c r="AL79" i="1"/>
  <c r="AL75" i="1"/>
  <c r="AL43" i="1"/>
  <c r="AL60" i="1"/>
  <c r="AL52" i="1"/>
  <c r="AL66" i="1"/>
  <c r="AL78" i="1"/>
  <c r="AL40" i="1"/>
  <c r="AL69" i="1"/>
  <c r="AL70" i="1"/>
  <c r="AL55" i="1"/>
  <c r="AL88" i="1"/>
  <c r="AL58" i="1"/>
  <c r="AL47" i="1"/>
  <c r="AL72" i="1"/>
  <c r="AL50" i="1"/>
  <c r="AL39" i="1"/>
  <c r="AL91" i="1"/>
  <c r="AL62" i="1"/>
  <c r="AI92" i="1"/>
  <c r="AM92" i="1" s="1"/>
  <c r="AL82" i="1"/>
  <c r="AL71" i="1"/>
  <c r="AL48" i="1"/>
  <c r="AL68" i="1"/>
  <c r="AL61" i="1"/>
  <c r="AL36" i="1"/>
  <c r="AI93" i="1"/>
  <c r="AM93" i="1" s="1"/>
  <c r="AL90" i="1"/>
  <c r="AL53" i="1"/>
  <c r="AL74" i="1"/>
  <c r="AL45" i="1"/>
  <c r="AL77" i="1"/>
  <c r="AL37" i="1"/>
  <c r="AL64" i="1"/>
  <c r="AL42" i="1"/>
  <c r="AL57" i="1"/>
  <c r="AL81" i="1"/>
  <c r="AN93" i="1" l="1"/>
  <c r="AO93" i="1"/>
  <c r="AN92" i="1"/>
  <c r="AO92" i="1"/>
  <c r="AY3" i="1"/>
  <c r="AZ3" i="1" s="1"/>
  <c r="BA3" i="1" s="1"/>
  <c r="AY4" i="1"/>
  <c r="AZ4" i="1" s="1"/>
  <c r="BA4" i="1" s="1"/>
  <c r="AY5" i="1"/>
  <c r="AZ5" i="1" s="1"/>
  <c r="BA5" i="1" s="1"/>
  <c r="AY6" i="1"/>
  <c r="AZ6" i="1" s="1"/>
  <c r="BA6" i="1" s="1"/>
  <c r="AY7" i="1"/>
  <c r="AZ7" i="1" s="1"/>
  <c r="BA7" i="1" s="1"/>
  <c r="AY8" i="1"/>
  <c r="AZ8" i="1" s="1"/>
  <c r="BA8" i="1" s="1"/>
  <c r="AY9" i="1"/>
  <c r="AZ9" i="1" s="1"/>
  <c r="BA9" i="1" s="1"/>
  <c r="AY10" i="1"/>
  <c r="AZ10" i="1" s="1"/>
  <c r="BA10" i="1" s="1"/>
  <c r="AY11" i="1"/>
  <c r="AZ11" i="1" s="1"/>
  <c r="BA11" i="1" s="1"/>
  <c r="AY12" i="1"/>
  <c r="AZ12" i="1" s="1"/>
  <c r="BA12" i="1" s="1"/>
  <c r="AY13" i="1"/>
  <c r="AZ13" i="1" s="1"/>
  <c r="BA13" i="1" s="1"/>
  <c r="AY14" i="1"/>
  <c r="AZ14" i="1" s="1"/>
  <c r="BA14" i="1" s="1"/>
  <c r="AY15" i="1"/>
  <c r="AZ15" i="1" s="1"/>
  <c r="BA15" i="1" s="1"/>
  <c r="AY16" i="1"/>
  <c r="AZ16" i="1" s="1"/>
  <c r="BA16" i="1" s="1"/>
  <c r="AY17" i="1"/>
  <c r="AZ17" i="1" s="1"/>
  <c r="BA17" i="1" s="1"/>
  <c r="AY18" i="1"/>
  <c r="AZ18" i="1" s="1"/>
  <c r="BA18" i="1" s="1"/>
  <c r="AY19" i="1"/>
  <c r="AZ19" i="1" s="1"/>
  <c r="BA19" i="1" s="1"/>
  <c r="AY20" i="1"/>
  <c r="AZ20" i="1" s="1"/>
  <c r="BA20" i="1" s="1"/>
  <c r="AY21" i="1"/>
  <c r="AZ21" i="1" s="1"/>
  <c r="BA21" i="1" s="1"/>
  <c r="AY22" i="1"/>
  <c r="AZ22" i="1" s="1"/>
  <c r="BA22" i="1" s="1"/>
  <c r="AY23" i="1"/>
  <c r="AZ23" i="1" s="1"/>
  <c r="BA23" i="1" s="1"/>
  <c r="AY24" i="1"/>
  <c r="AZ24" i="1" s="1"/>
  <c r="BA24" i="1" s="1"/>
  <c r="AY25" i="1"/>
  <c r="AZ25" i="1" s="1"/>
  <c r="BA25" i="1" s="1"/>
  <c r="AY26" i="1"/>
  <c r="AZ26" i="1" s="1"/>
  <c r="BA26" i="1" s="1"/>
  <c r="AY27" i="1"/>
  <c r="AZ27" i="1" s="1"/>
  <c r="BA27" i="1" s="1"/>
  <c r="AY28" i="1"/>
  <c r="AZ28" i="1" s="1"/>
  <c r="BA28" i="1" s="1"/>
  <c r="AY29" i="1"/>
  <c r="AZ29" i="1" s="1"/>
  <c r="BA29" i="1" s="1"/>
  <c r="AY30" i="1"/>
  <c r="AZ30" i="1" s="1"/>
  <c r="BA30" i="1" s="1"/>
  <c r="AY31" i="1"/>
  <c r="AZ31" i="1" s="1"/>
  <c r="BA31" i="1" s="1"/>
  <c r="AY32" i="1"/>
  <c r="AZ32" i="1" s="1"/>
  <c r="BA32" i="1" s="1"/>
  <c r="AY34" i="1"/>
  <c r="AZ34" i="1" s="1"/>
  <c r="BA34" i="1" s="1"/>
  <c r="AY35" i="1"/>
  <c r="AZ35" i="1" s="1"/>
  <c r="BA35" i="1" s="1"/>
  <c r="AY36" i="1"/>
  <c r="AZ36" i="1" s="1"/>
  <c r="BA36" i="1" s="1"/>
  <c r="AY37" i="1"/>
  <c r="AZ37" i="1" s="1"/>
  <c r="BA37" i="1" s="1"/>
  <c r="AY38" i="1"/>
  <c r="AZ38" i="1" s="1"/>
  <c r="BA38" i="1" s="1"/>
  <c r="AY39" i="1"/>
  <c r="AZ39" i="1" s="1"/>
  <c r="BA39" i="1" s="1"/>
  <c r="AY40" i="1"/>
  <c r="AZ40" i="1" s="1"/>
  <c r="BA40" i="1" s="1"/>
  <c r="AY41" i="1"/>
  <c r="AZ41" i="1" s="1"/>
  <c r="BA41" i="1" s="1"/>
  <c r="AY42" i="1"/>
  <c r="AZ42" i="1" s="1"/>
  <c r="BA42" i="1" s="1"/>
  <c r="AY43" i="1"/>
  <c r="AZ43" i="1" s="1"/>
  <c r="BA43" i="1" s="1"/>
  <c r="AY44" i="1"/>
  <c r="AZ44" i="1" s="1"/>
  <c r="BA44" i="1" s="1"/>
  <c r="AY45" i="1"/>
  <c r="AZ45" i="1" s="1"/>
  <c r="BA45" i="1" s="1"/>
  <c r="AY46" i="1"/>
  <c r="AZ46" i="1" s="1"/>
  <c r="BA46" i="1" s="1"/>
  <c r="AY47" i="1"/>
  <c r="AZ47" i="1" s="1"/>
  <c r="BA47" i="1" s="1"/>
  <c r="AY48" i="1"/>
  <c r="AZ48" i="1" s="1"/>
  <c r="BA48" i="1" s="1"/>
  <c r="AY49" i="1"/>
  <c r="AZ49" i="1" s="1"/>
  <c r="BA49" i="1" s="1"/>
  <c r="AY50" i="1"/>
  <c r="AZ50" i="1" s="1"/>
  <c r="BA50" i="1" s="1"/>
  <c r="AY51" i="1"/>
  <c r="AZ51" i="1" s="1"/>
  <c r="BA51" i="1" s="1"/>
  <c r="AY52" i="1"/>
  <c r="AZ52" i="1" s="1"/>
  <c r="BA52" i="1" s="1"/>
  <c r="AY53" i="1"/>
  <c r="AZ53" i="1" s="1"/>
  <c r="BA53" i="1" s="1"/>
  <c r="AY54" i="1"/>
  <c r="AZ54" i="1" s="1"/>
  <c r="BA54" i="1" s="1"/>
  <c r="AY55" i="1"/>
  <c r="AZ55" i="1" s="1"/>
  <c r="BA55" i="1" s="1"/>
  <c r="AY56" i="1"/>
  <c r="AZ56" i="1" s="1"/>
  <c r="BA56" i="1" s="1"/>
  <c r="AY57" i="1"/>
  <c r="AZ57" i="1" s="1"/>
  <c r="BA57" i="1" s="1"/>
  <c r="AY58" i="1"/>
  <c r="AZ58" i="1" s="1"/>
  <c r="BA58" i="1" s="1"/>
  <c r="AY59" i="1"/>
  <c r="AZ59" i="1" s="1"/>
  <c r="BA59" i="1" s="1"/>
  <c r="AY60" i="1"/>
  <c r="AZ60" i="1" s="1"/>
  <c r="BA60" i="1" s="1"/>
  <c r="AY61" i="1"/>
  <c r="AZ61" i="1" s="1"/>
  <c r="BA61" i="1" s="1"/>
  <c r="AY62" i="1"/>
  <c r="AZ62" i="1" s="1"/>
  <c r="BA62" i="1" s="1"/>
  <c r="AY64" i="1"/>
  <c r="AZ64" i="1" s="1"/>
  <c r="BA64" i="1" s="1"/>
  <c r="AY65" i="1"/>
  <c r="AZ65" i="1" s="1"/>
  <c r="BA65" i="1" s="1"/>
  <c r="AY66" i="1"/>
  <c r="AZ66" i="1" s="1"/>
  <c r="BA66" i="1" s="1"/>
  <c r="AY67" i="1"/>
  <c r="AZ67" i="1" s="1"/>
  <c r="BA67" i="1" s="1"/>
  <c r="AY68" i="1"/>
  <c r="AZ68" i="1" s="1"/>
  <c r="BA68" i="1" s="1"/>
  <c r="AY69" i="1"/>
  <c r="AZ69" i="1" s="1"/>
  <c r="BA69" i="1" s="1"/>
  <c r="AY70" i="1"/>
  <c r="AZ70" i="1" s="1"/>
  <c r="BA70" i="1" s="1"/>
  <c r="AY71" i="1"/>
  <c r="AZ71" i="1" s="1"/>
  <c r="BA71" i="1" s="1"/>
  <c r="AY72" i="1"/>
  <c r="AZ72" i="1" s="1"/>
  <c r="BA72" i="1" s="1"/>
  <c r="AY73" i="1"/>
  <c r="AZ73" i="1" s="1"/>
  <c r="BA73" i="1" s="1"/>
  <c r="AY74" i="1"/>
  <c r="AZ74" i="1" s="1"/>
  <c r="BA74" i="1" s="1"/>
  <c r="AY75" i="1"/>
  <c r="AZ75" i="1" s="1"/>
  <c r="BA75" i="1" s="1"/>
  <c r="AY76" i="1"/>
  <c r="AZ76" i="1" s="1"/>
  <c r="BA76" i="1" s="1"/>
  <c r="AY77" i="1"/>
  <c r="AZ77" i="1" s="1"/>
  <c r="BA77" i="1" s="1"/>
  <c r="AY78" i="1"/>
  <c r="AZ78" i="1" s="1"/>
  <c r="BA78" i="1" s="1"/>
  <c r="AY79" i="1"/>
  <c r="AZ79" i="1" s="1"/>
  <c r="BA79" i="1" s="1"/>
  <c r="AY2" i="1"/>
  <c r="AZ2" i="1" s="1"/>
  <c r="BA2" i="1" s="1"/>
  <c r="AL3" i="1"/>
  <c r="AI53" i="1"/>
  <c r="AH27" i="1"/>
  <c r="AH81" i="1"/>
  <c r="AH72" i="1"/>
  <c r="AI26" i="1"/>
  <c r="AL16" i="1"/>
  <c r="AL2" i="1"/>
  <c r="AI85" i="1"/>
  <c r="AI36" i="1"/>
  <c r="AI18" i="1"/>
  <c r="AI21" i="1"/>
  <c r="AI15" i="1"/>
  <c r="AI86" i="1"/>
  <c r="AI45" i="1"/>
  <c r="AI65" i="1"/>
  <c r="AI73" i="1"/>
  <c r="AI2" i="1"/>
  <c r="AI68" i="1"/>
  <c r="AL31" i="1"/>
  <c r="AI55" i="1"/>
  <c r="AH57" i="1"/>
  <c r="AL13" i="1"/>
  <c r="AI54" i="1"/>
  <c r="AH23" i="1"/>
  <c r="AI72" i="1"/>
  <c r="AL8" i="1"/>
  <c r="AH74" i="1"/>
  <c r="AI9" i="1"/>
  <c r="AH56" i="1"/>
  <c r="AH73" i="1"/>
  <c r="AH60" i="1"/>
  <c r="AH26" i="1"/>
  <c r="AI16" i="1"/>
  <c r="AH38" i="1"/>
  <c r="AH20" i="1"/>
  <c r="AH52" i="1"/>
  <c r="AH62" i="1"/>
  <c r="AH42" i="1"/>
  <c r="AH76" i="1"/>
  <c r="AI41" i="1"/>
  <c r="AH68" i="1"/>
  <c r="AH67" i="1"/>
  <c r="AI13" i="1"/>
  <c r="AL19" i="1"/>
  <c r="AL20" i="1"/>
  <c r="AI37" i="1"/>
  <c r="AI22" i="1"/>
  <c r="AI70" i="1"/>
  <c r="AL32" i="1"/>
  <c r="AH49" i="1"/>
  <c r="AI66" i="1"/>
  <c r="AH4" i="1"/>
  <c r="AH25" i="1"/>
  <c r="AL22" i="1"/>
  <c r="AI80" i="1"/>
  <c r="AH12" i="1"/>
  <c r="AH58" i="1"/>
  <c r="AH16" i="1"/>
  <c r="AH44" i="1"/>
  <c r="AI12" i="1"/>
  <c r="AI20" i="1"/>
  <c r="AI62" i="1"/>
  <c r="AI39" i="1"/>
  <c r="AI84" i="1"/>
  <c r="AI74" i="1"/>
  <c r="AI32" i="1"/>
  <c r="AI38" i="1"/>
  <c r="AI31" i="1"/>
  <c r="AI40" i="1"/>
  <c r="AH14" i="1"/>
  <c r="AH30" i="1"/>
  <c r="AH40" i="1"/>
  <c r="AI3" i="1"/>
  <c r="AI7" i="1"/>
  <c r="AH18" i="1"/>
  <c r="AI88" i="1"/>
  <c r="AH61" i="1"/>
  <c r="AI71" i="1"/>
  <c r="AL4" i="1"/>
  <c r="AI35" i="1"/>
  <c r="AH90" i="1"/>
  <c r="AI91" i="1"/>
  <c r="AH66" i="1"/>
  <c r="AH22" i="1"/>
  <c r="AH47" i="1"/>
  <c r="AI56" i="1"/>
  <c r="AH65" i="1"/>
  <c r="AH37" i="1"/>
  <c r="AL23" i="1"/>
  <c r="AH3" i="1"/>
  <c r="AI49" i="1"/>
  <c r="AH78" i="1"/>
  <c r="AH71" i="1"/>
  <c r="AI52" i="1"/>
  <c r="AI14" i="1"/>
  <c r="AH11" i="1"/>
  <c r="AI76" i="1"/>
  <c r="AH88" i="1"/>
  <c r="AI79" i="1"/>
  <c r="AH43" i="1"/>
  <c r="AI82" i="1"/>
  <c r="AH59" i="1"/>
  <c r="AH85" i="1"/>
  <c r="AL29" i="1"/>
  <c r="AI5" i="1"/>
  <c r="AH70" i="1"/>
  <c r="AH7" i="1"/>
  <c r="AH75" i="1"/>
  <c r="AH86" i="1"/>
  <c r="AI29" i="1"/>
  <c r="AI30" i="1"/>
  <c r="AI57" i="1"/>
  <c r="AI67" i="1"/>
  <c r="AH36" i="1"/>
  <c r="AI58" i="1"/>
  <c r="AI42" i="1"/>
  <c r="AI43" i="1"/>
  <c r="AH19" i="1"/>
  <c r="AH89" i="1"/>
  <c r="AH79" i="1"/>
  <c r="AH21" i="1"/>
  <c r="AH46" i="1"/>
  <c r="AI69" i="1"/>
  <c r="AI51" i="1"/>
  <c r="AH29" i="1"/>
  <c r="AL10" i="1"/>
  <c r="AI8" i="1"/>
  <c r="AH35" i="1"/>
  <c r="AL9" i="1"/>
  <c r="AI34" i="1"/>
  <c r="AH5" i="1"/>
  <c r="AI81" i="1"/>
  <c r="AH28" i="1"/>
  <c r="AH32" i="1"/>
  <c r="AI89" i="1"/>
  <c r="AI59" i="1"/>
  <c r="AL26" i="1"/>
  <c r="AL25" i="1"/>
  <c r="AH45" i="1"/>
  <c r="AH50" i="1"/>
  <c r="AL12" i="1"/>
  <c r="AH24" i="1"/>
  <c r="AH31" i="1"/>
  <c r="AH39" i="1"/>
  <c r="AI10" i="1"/>
  <c r="AH9" i="1"/>
  <c r="AL11" i="1"/>
  <c r="AH13" i="1"/>
  <c r="AI48" i="1"/>
  <c r="AH82" i="1"/>
  <c r="AL21" i="1"/>
  <c r="AH54" i="1"/>
  <c r="AL27" i="1"/>
  <c r="AL7" i="1"/>
  <c r="AL6" i="1"/>
  <c r="AL28" i="1"/>
  <c r="AI47" i="1"/>
  <c r="AI25" i="1"/>
  <c r="AI90" i="1"/>
  <c r="AH64" i="1"/>
  <c r="AH84" i="1"/>
  <c r="AI87" i="1"/>
  <c r="AL24" i="1"/>
  <c r="AH10" i="1"/>
  <c r="AH2" i="1"/>
  <c r="AL17" i="1"/>
  <c r="AI24" i="1"/>
  <c r="AI4" i="1"/>
  <c r="AL30" i="1"/>
  <c r="AI60" i="1"/>
  <c r="AL18" i="1"/>
  <c r="AI44" i="1"/>
  <c r="AI6" i="1"/>
  <c r="AI75" i="1"/>
  <c r="AI83" i="1"/>
  <c r="AL5" i="1"/>
  <c r="AI46" i="1"/>
  <c r="AH55" i="1"/>
  <c r="AL14" i="1"/>
  <c r="AI50" i="1"/>
  <c r="AH53" i="1"/>
  <c r="AI19" i="1"/>
  <c r="AI61" i="1"/>
  <c r="AH51" i="1"/>
  <c r="AH6" i="1"/>
  <c r="AI11" i="1"/>
  <c r="AH17" i="1"/>
  <c r="AH80" i="1"/>
  <c r="AI23" i="1"/>
  <c r="AH41" i="1"/>
  <c r="AI28" i="1"/>
  <c r="AI77" i="1"/>
  <c r="AI27" i="1"/>
  <c r="AI64" i="1"/>
  <c r="AH83" i="1"/>
  <c r="AH8" i="1"/>
  <c r="AH87" i="1"/>
  <c r="AL15" i="1"/>
  <c r="AH69" i="1"/>
  <c r="AH48" i="1"/>
  <c r="AH34" i="1"/>
  <c r="AH15" i="1"/>
  <c r="AH91" i="1"/>
  <c r="AI78" i="1"/>
  <c r="AI17" i="1"/>
  <c r="AH77" i="1"/>
  <c r="AP93" i="1" l="1"/>
  <c r="AN85" i="1"/>
  <c r="AN47" i="1"/>
  <c r="AN61" i="1"/>
  <c r="AN48" i="1"/>
  <c r="AN39" i="1"/>
  <c r="AN38" i="1"/>
  <c r="AN35" i="1"/>
  <c r="AN74" i="1"/>
  <c r="AN53" i="1"/>
  <c r="AN77" i="1"/>
  <c r="AN59" i="1"/>
  <c r="AN82" i="1"/>
  <c r="AN57" i="1"/>
  <c r="AN55" i="1"/>
  <c r="AN69" i="1"/>
  <c r="AN46" i="1"/>
  <c r="AN40" i="1"/>
  <c r="AN76" i="1"/>
  <c r="AN66" i="1"/>
  <c r="AN79" i="1"/>
  <c r="AN89" i="1"/>
  <c r="AN42" i="1"/>
  <c r="AN51" i="1"/>
  <c r="AN43" i="1"/>
  <c r="AN87" i="1"/>
  <c r="AN41" i="1"/>
  <c r="AN60" i="1"/>
  <c r="AN49" i="1"/>
  <c r="AN37" i="1"/>
  <c r="AN91" i="1"/>
  <c r="AN71" i="1"/>
  <c r="AN50" i="1"/>
  <c r="AN62" i="1"/>
  <c r="AN73" i="1"/>
  <c r="AN36" i="1"/>
  <c r="AN65" i="1"/>
  <c r="AN90" i="1"/>
  <c r="AN83" i="1"/>
  <c r="AN45" i="1"/>
  <c r="AN88" i="1"/>
  <c r="AN67" i="1"/>
  <c r="AN52" i="1"/>
  <c r="AN80" i="1"/>
  <c r="AN86" i="1"/>
  <c r="AN44" i="1"/>
  <c r="AN75" i="1"/>
  <c r="AN72" i="1"/>
  <c r="AN84" i="1"/>
  <c r="AN34" i="1"/>
  <c r="AN78" i="1"/>
  <c r="AN58" i="1"/>
  <c r="AN81" i="1"/>
  <c r="AN64" i="1"/>
  <c r="AN54" i="1"/>
  <c r="AN68" i="1"/>
  <c r="AN56" i="1"/>
  <c r="AN70" i="1"/>
  <c r="AP92" i="1"/>
  <c r="AN10" i="1"/>
  <c r="AN9" i="1"/>
  <c r="AN8" i="1"/>
  <c r="AN7" i="1"/>
  <c r="AN6" i="1"/>
  <c r="AN26" i="1"/>
  <c r="AN25" i="1"/>
  <c r="AN32" i="1"/>
  <c r="AN16" i="1"/>
  <c r="AN31" i="1"/>
  <c r="AN15" i="1"/>
  <c r="AN22" i="1"/>
  <c r="AN29" i="1"/>
  <c r="AN21" i="1"/>
  <c r="AN13" i="1"/>
  <c r="AN5" i="1"/>
  <c r="AN18" i="1"/>
  <c r="AN17" i="1"/>
  <c r="AN24" i="1"/>
  <c r="AN23" i="1"/>
  <c r="AN30" i="1"/>
  <c r="AN14" i="1"/>
  <c r="AN4" i="1"/>
  <c r="AN28" i="1"/>
  <c r="AN20" i="1"/>
  <c r="AN12" i="1"/>
  <c r="AN27" i="1"/>
  <c r="AN19" i="1"/>
  <c r="AN11" i="1"/>
  <c r="AN3" i="1"/>
  <c r="AN2" i="1"/>
  <c r="AM78" i="1"/>
  <c r="AM44" i="1"/>
  <c r="AM81" i="1"/>
  <c r="AM57" i="1"/>
  <c r="AM35" i="1"/>
  <c r="AM62" i="1"/>
  <c r="AM55" i="1"/>
  <c r="AM53" i="1"/>
  <c r="AM9" i="1"/>
  <c r="AM2" i="1"/>
  <c r="AM8" i="1"/>
  <c r="AM22" i="1"/>
  <c r="AM5" i="1"/>
  <c r="AM3" i="1"/>
  <c r="AM23" i="1"/>
  <c r="AM61" i="1"/>
  <c r="AM70" i="1"/>
  <c r="AM10" i="1"/>
  <c r="AM47" i="1"/>
  <c r="AM38" i="1"/>
  <c r="AM26" i="1"/>
  <c r="AM48" i="1"/>
  <c r="AM41" i="1"/>
  <c r="AM15" i="1"/>
  <c r="AM56" i="1"/>
  <c r="AM72" i="1"/>
  <c r="AM25" i="1"/>
  <c r="AM64" i="1"/>
  <c r="AM60" i="1"/>
  <c r="AM34" i="1"/>
  <c r="AM82" i="1"/>
  <c r="AM71" i="1"/>
  <c r="AM80" i="1"/>
  <c r="AM68" i="1"/>
  <c r="AM14" i="1"/>
  <c r="AM7" i="1"/>
  <c r="AM69" i="1"/>
  <c r="AM76" i="1"/>
  <c r="AM65" i="1"/>
  <c r="AM20" i="1"/>
  <c r="AM50" i="1"/>
  <c r="AM37" i="1"/>
  <c r="AM29" i="1"/>
  <c r="AM46" i="1"/>
  <c r="AM74" i="1"/>
  <c r="AM16" i="1"/>
  <c r="AM59" i="1"/>
  <c r="AM36" i="1"/>
  <c r="AM28" i="1"/>
  <c r="AM77" i="1"/>
  <c r="AM87" i="1"/>
  <c r="AM51" i="1"/>
  <c r="AM79" i="1"/>
  <c r="AM88" i="1"/>
  <c r="AM66" i="1"/>
  <c r="AM73" i="1"/>
  <c r="AM24" i="1"/>
  <c r="AM11" i="1"/>
  <c r="AM17" i="1"/>
  <c r="AM90" i="1"/>
  <c r="AM40" i="1"/>
  <c r="AM6" i="1"/>
  <c r="AM18" i="1"/>
  <c r="AM43" i="1"/>
  <c r="AM45" i="1"/>
  <c r="AM31" i="1"/>
  <c r="AM49" i="1"/>
  <c r="AM30" i="1"/>
  <c r="AM58" i="1"/>
  <c r="AM84" i="1"/>
  <c r="AM4" i="1"/>
  <c r="AM75" i="1"/>
  <c r="AM89" i="1"/>
  <c r="AM67" i="1"/>
  <c r="AM91" i="1"/>
  <c r="AM39" i="1"/>
  <c r="AM54" i="1"/>
  <c r="AM85" i="1"/>
  <c r="AM13" i="1"/>
  <c r="AM27" i="1"/>
  <c r="AM21" i="1"/>
  <c r="AM52" i="1"/>
  <c r="AM32" i="1"/>
  <c r="AM42" i="1"/>
  <c r="AM86" i="1"/>
  <c r="AM19" i="1"/>
  <c r="AM83" i="1"/>
  <c r="AM12" i="1"/>
  <c r="AO83" i="1" l="1"/>
  <c r="AP83" i="1" s="1"/>
  <c r="AO86" i="1"/>
  <c r="AO42" i="1"/>
  <c r="AO52" i="1"/>
  <c r="AO85" i="1"/>
  <c r="AP85" i="1" s="1"/>
  <c r="AO54" i="1"/>
  <c r="AP54" i="1" s="1"/>
  <c r="AO39" i="1"/>
  <c r="AP39" i="1" s="1"/>
  <c r="AO91" i="1"/>
  <c r="AO67" i="1"/>
  <c r="AO89" i="1"/>
  <c r="AP89" i="1" s="1"/>
  <c r="AO75" i="1"/>
  <c r="AP75" i="1" s="1"/>
  <c r="AO84" i="1"/>
  <c r="AO58" i="1"/>
  <c r="AP58" i="1" s="1"/>
  <c r="AO49" i="1"/>
  <c r="AP49" i="1" s="1"/>
  <c r="AO45" i="1"/>
  <c r="AP45" i="1" s="1"/>
  <c r="AO43" i="1"/>
  <c r="AO40" i="1"/>
  <c r="AO90" i="1"/>
  <c r="AO73" i="1"/>
  <c r="AO66" i="1"/>
  <c r="AP66" i="1" s="1"/>
  <c r="AO88" i="1"/>
  <c r="AO79" i="1"/>
  <c r="AP79" i="1" s="1"/>
  <c r="AO51" i="1"/>
  <c r="AP51" i="1" s="1"/>
  <c r="AO87" i="1"/>
  <c r="AP87" i="1" s="1"/>
  <c r="AO77" i="1"/>
  <c r="AO36" i="1"/>
  <c r="AO59" i="1"/>
  <c r="AO74" i="1"/>
  <c r="AO46" i="1"/>
  <c r="AO37" i="1"/>
  <c r="AP37" i="1" s="1"/>
  <c r="AO50" i="1"/>
  <c r="AP50" i="1" s="1"/>
  <c r="AO65" i="1"/>
  <c r="AO76" i="1"/>
  <c r="AO69" i="1"/>
  <c r="AO68" i="1"/>
  <c r="AP68" i="1" s="1"/>
  <c r="AO80" i="1"/>
  <c r="AP80" i="1" s="1"/>
  <c r="AO71" i="1"/>
  <c r="AP71" i="1" s="1"/>
  <c r="AO82" i="1"/>
  <c r="AO34" i="1"/>
  <c r="AO60" i="1"/>
  <c r="AO64" i="1"/>
  <c r="AO72" i="1"/>
  <c r="AO56" i="1"/>
  <c r="AO41" i="1"/>
  <c r="AP41" i="1" s="1"/>
  <c r="AO48" i="1"/>
  <c r="AP48" i="1" s="1"/>
  <c r="AO38" i="1"/>
  <c r="AO47" i="1"/>
  <c r="AP47" i="1" s="1"/>
  <c r="AO70" i="1"/>
  <c r="AP70" i="1" s="1"/>
  <c r="AO61" i="1"/>
  <c r="AO53" i="1"/>
  <c r="AO55" i="1"/>
  <c r="AO62" i="1"/>
  <c r="AP62" i="1" s="1"/>
  <c r="AO35" i="1"/>
  <c r="AP35" i="1" s="1"/>
  <c r="AO57" i="1"/>
  <c r="AP57" i="1" s="1"/>
  <c r="AO81" i="1"/>
  <c r="AP81" i="1" s="1"/>
  <c r="AO44" i="1"/>
  <c r="AO78" i="1"/>
  <c r="AP40" i="1"/>
  <c r="AP91" i="1"/>
  <c r="AP72" i="1"/>
  <c r="AP36" i="1"/>
  <c r="AP67" i="1"/>
  <c r="AP52" i="1"/>
  <c r="AP38" i="1"/>
  <c r="AP34" i="1"/>
  <c r="AP90" i="1"/>
  <c r="AP78" i="1"/>
  <c r="AP64" i="1"/>
  <c r="AP53" i="1"/>
  <c r="AP56" i="1"/>
  <c r="AP84" i="1"/>
  <c r="AP86" i="1"/>
  <c r="AP43" i="1"/>
  <c r="AP46" i="1"/>
  <c r="AP82" i="1"/>
  <c r="AP74" i="1"/>
  <c r="AP59" i="1"/>
  <c r="AP55" i="1"/>
  <c r="AP69" i="1"/>
  <c r="AP88" i="1"/>
  <c r="AP65" i="1"/>
  <c r="AP60" i="1"/>
  <c r="AP42" i="1"/>
  <c r="AP61" i="1"/>
  <c r="AP73" i="1"/>
  <c r="AP76" i="1"/>
  <c r="AP77" i="1"/>
  <c r="AP44" i="1"/>
  <c r="AO4" i="1"/>
  <c r="AP4" i="1" s="1"/>
  <c r="AO16" i="1"/>
  <c r="AP16" i="1" s="1"/>
  <c r="AO26" i="1"/>
  <c r="AP26" i="1" s="1"/>
  <c r="AO18" i="1"/>
  <c r="AP18" i="1" s="1"/>
  <c r="AO17" i="1"/>
  <c r="AP17" i="1" s="1"/>
  <c r="AO7" i="1"/>
  <c r="AP7" i="1" s="1"/>
  <c r="AO22" i="1"/>
  <c r="AP22" i="1" s="1"/>
  <c r="AO21" i="1"/>
  <c r="AP21" i="1" s="1"/>
  <c r="AO25" i="1"/>
  <c r="AP25" i="1" s="1"/>
  <c r="AO15" i="1"/>
  <c r="AP15" i="1" s="1"/>
  <c r="AO32" i="1"/>
  <c r="AP32" i="1" s="1"/>
  <c r="AO10" i="1"/>
  <c r="AP10" i="1" s="1"/>
  <c r="AO23" i="1"/>
  <c r="AP23" i="1" s="1"/>
  <c r="AO3" i="1"/>
  <c r="AP3" i="1" s="1"/>
  <c r="AO8" i="1"/>
  <c r="AO27" i="1"/>
  <c r="AP27" i="1" s="1"/>
  <c r="AO12" i="1"/>
  <c r="AP12" i="1" s="1"/>
  <c r="AO20" i="1"/>
  <c r="AP20" i="1" s="1"/>
  <c r="AO11" i="1"/>
  <c r="AP11" i="1" s="1"/>
  <c r="AO5" i="1"/>
  <c r="AP5" i="1" s="1"/>
  <c r="AO2" i="1"/>
  <c r="AP2" i="1" s="1"/>
  <c r="AO13" i="1"/>
  <c r="AP13" i="1" s="1"/>
  <c r="AO28" i="1"/>
  <c r="AP28" i="1" s="1"/>
  <c r="AO19" i="1"/>
  <c r="AP19" i="1" s="1"/>
  <c r="AO6" i="1"/>
  <c r="AP6" i="1" s="1"/>
  <c r="AO24" i="1"/>
  <c r="AP24" i="1" s="1"/>
  <c r="AO14" i="1"/>
  <c r="AP14" i="1" s="1"/>
  <c r="AO9" i="1"/>
  <c r="AP9" i="1" s="1"/>
  <c r="AO29" i="1"/>
  <c r="AP29" i="1" s="1"/>
  <c r="AO30" i="1"/>
  <c r="AP30" i="1" s="1"/>
  <c r="AO31" i="1"/>
  <c r="AP31" i="1" s="1"/>
  <c r="AP8" i="1"/>
</calcChain>
</file>

<file path=xl/sharedStrings.xml><?xml version="1.0" encoding="utf-8"?>
<sst xmlns="http://schemas.openxmlformats.org/spreadsheetml/2006/main" count="55" uniqueCount="55">
  <si>
    <t>Tanggal</t>
  </si>
  <si>
    <t>Main steam flow (t/h)</t>
  </si>
  <si>
    <t>Main steam temperature (boiler side) (℃)</t>
  </si>
  <si>
    <t>Main steam pressure (boiler side) (Mpa)</t>
  </si>
  <si>
    <t>Reheat steam temperature (boiler side) (℃)</t>
  </si>
  <si>
    <t>Superheater desuperheating water flow (t/h)</t>
  </si>
  <si>
    <t>Reheater desuperheating water flow (t/h)</t>
  </si>
  <si>
    <t>Feedwater temperature (℃)</t>
  </si>
  <si>
    <t>Feedwater flow (t/h)</t>
  </si>
  <si>
    <t>Flue gas temperature (℃)</t>
  </si>
  <si>
    <t>Boiler oxygen level (%)</t>
  </si>
  <si>
    <t>Main steam temperature (turbine side) (℃)</t>
  </si>
  <si>
    <t>Main steam pressure (turbine side) (MPa)</t>
  </si>
  <si>
    <t>Reheat steam temperature (turbine side) (℃)</t>
  </si>
  <si>
    <t>Reheat steam pressure (turbine side) (MPa)</t>
  </si>
  <si>
    <t>Control stage pressure (Mpa)</t>
  </si>
  <si>
    <t>High exhaust pressure (Mpa)</t>
  </si>
  <si>
    <t>Feedwater pressure (MPa)</t>
  </si>
  <si>
    <t>Condenser vacuum (kPa)</t>
  </si>
  <si>
    <t>Circulating water outlet temperature (℃)</t>
  </si>
  <si>
    <t>SO2 (mg/m3)</t>
  </si>
  <si>
    <t>Nox (mg/m3)</t>
  </si>
  <si>
    <t>CO (mg/m3)</t>
  </si>
  <si>
    <t>CO2 (ppm)</t>
  </si>
  <si>
    <t>O2 (%)</t>
  </si>
  <si>
    <t>Velocity (m/s)</t>
  </si>
  <si>
    <t>Temp. (°C)</t>
  </si>
  <si>
    <t>Pressure (Kpa)</t>
  </si>
  <si>
    <t>Flow rate (KNm3/h)</t>
  </si>
  <si>
    <t>Opacity (%)</t>
  </si>
  <si>
    <t>Dust (mg/m3)</t>
  </si>
  <si>
    <t>Boiler Eff (%)</t>
  </si>
  <si>
    <t>HP Turbine eff (%)</t>
  </si>
  <si>
    <t>APH Effectiveness (%)</t>
  </si>
  <si>
    <t>Coal Flow (t/h)</t>
  </si>
  <si>
    <t>NTHR (Kcal/Kwh)</t>
  </si>
  <si>
    <t>NPHR (Kcal/Kwh)</t>
  </si>
  <si>
    <t>Gross Load (MW)</t>
  </si>
  <si>
    <t>Nett Load (MW)</t>
  </si>
  <si>
    <t>HHV (Kcal/Kg)</t>
  </si>
  <si>
    <t>Entalphy inlet MS (kj/kg)</t>
  </si>
  <si>
    <t>Entropi Inlet MS (Kj/Kg (Deg C))</t>
  </si>
  <si>
    <t>Cold Reheat Pressure (Mpa)</t>
  </si>
  <si>
    <t>Cold Reheat Temperature (°C)</t>
  </si>
  <si>
    <t>Entalphy Cold Reheat (kj/kg)</t>
  </si>
  <si>
    <t>Entalphy Isentropis Cold Reheat (kj/kg)</t>
  </si>
  <si>
    <t>ΔP aktual (Kj/Kg)</t>
  </si>
  <si>
    <t>ΔHP isentropis (Kj/Kg)</t>
  </si>
  <si>
    <t>Energy Input From Boiler (Kcal/h)</t>
  </si>
  <si>
    <t>O2 in APH (%)</t>
  </si>
  <si>
    <t>O2 Out APH (%)</t>
  </si>
  <si>
    <t>Refference Temperature (°C)</t>
  </si>
  <si>
    <t>Flue Gas in Temperature (°C)</t>
  </si>
  <si>
    <t>APH Leakage (%)</t>
  </si>
  <si>
    <t>Corrected Flue Gas Out Temperature (°C)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</si>
</sst>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right" vertical="center" wrapText="1"/>
    </xf>
    <xf numFmtId="0" fontId="1" fillId="2" borderId="1" xfId="0" applyFont="1" applyFill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 vertical="center" wrapText="1"/>
    </xf>
    <xf numFmtId="0" fontId="0" fillId="0" borderId="1" xfId="0" applyBorder="1"/>
    <xf numFmtId="0" fontId="0" fillId="0" borderId="1" xfId="0" applyBorder="1" applyAlignment="1">
      <alignment horizontal="right" vertical="center"/>
    </xf>
    <xf numFmtId="164" fontId="0" fillId="2" borderId="1" xfId="0" applyNumberFormat="1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/>
    <xf numFmtId="43" fontId="0" fillId="0" borderId="1" xfId="0" applyNumberFormat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5"/>
  <sheetViews>
    <sheetView tabSelected="1" zoomScale="135" workbookViewId="0">
      <pane xSplit="2" ySplit="1" topLeftCell="V2" activePane="bottomRight" state="frozen"/>
      <selection pane="topRight" activeCell="C1" sqref="C1"/>
      <selection pane="bottomLeft" activeCell="A2" sqref="A2"/>
      <selection pane="bottomRight" activeCell="AB16" sqref="AB16"/>
    </sheetView>
  </sheetViews>
  <sheetFormatPr baseColWidth="10" defaultColWidth="8.83203125" defaultRowHeight="15" x14ac:dyDescent="0.2"/>
  <cols>
    <col min="1" max="1" width="8.83203125" style="5"/>
    <col min="2" max="2" width="17.6640625" style="5" bestFit="1" customWidth="1"/>
    <col min="3" max="3" width="11.6640625" style="5" bestFit="1" customWidth="1"/>
    <col min="4" max="33" width="8.83203125" style="5"/>
    <col min="34" max="34" width="10.6640625" style="5" bestFit="1" customWidth="1"/>
    <col min="35" max="35" width="11.6640625" style="5" bestFit="1" customWidth="1"/>
    <col min="36" max="37" width="8.83203125" style="5"/>
    <col min="38" max="38" width="10.6640625" style="5" bestFit="1" customWidth="1"/>
    <col min="39" max="39" width="11.6640625" style="5" bestFit="1" customWidth="1"/>
    <col min="40" max="41" width="8.83203125" style="5"/>
    <col min="42" max="42" width="9.6640625" style="5" bestFit="1" customWidth="1"/>
    <col min="43" max="48" width="9.6640625" style="5" customWidth="1"/>
    <col min="49" max="50" width="8.83203125" style="5"/>
    <col min="51" max="51" width="10.1640625" style="5" bestFit="1" customWidth="1"/>
    <col min="52" max="53" width="11.6640625" style="5" bestFit="1" customWidth="1"/>
    <col min="54" max="16384" width="8.83203125" style="5"/>
  </cols>
  <sheetData>
    <row r="1" spans="1:56" s="1" customFormat="1" ht="96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3" t="s">
        <v>20</v>
      </c>
      <c r="W1" s="13" t="s">
        <v>21</v>
      </c>
      <c r="X1" s="13" t="s">
        <v>22</v>
      </c>
      <c r="Y1" s="13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3" t="s">
        <v>29</v>
      </c>
      <c r="AF1" s="13" t="s">
        <v>30</v>
      </c>
      <c r="AG1" s="14" t="s">
        <v>31</v>
      </c>
      <c r="AH1" s="1" t="s">
        <v>40</v>
      </c>
      <c r="AI1" s="1" t="s">
        <v>41</v>
      </c>
      <c r="AJ1" s="1" t="s">
        <v>42</v>
      </c>
      <c r="AK1" s="1" t="s">
        <v>43</v>
      </c>
      <c r="AL1" s="1" t="s">
        <v>44</v>
      </c>
      <c r="AM1" s="1" t="s">
        <v>45</v>
      </c>
      <c r="AN1" s="1" t="s">
        <v>46</v>
      </c>
      <c r="AO1" s="1" t="s">
        <v>47</v>
      </c>
      <c r="AP1" s="15" t="s">
        <v>32</v>
      </c>
      <c r="AQ1" s="1" t="s">
        <v>49</v>
      </c>
      <c r="AR1" s="1" t="s">
        <v>50</v>
      </c>
      <c r="AS1" s="1" t="s">
        <v>51</v>
      </c>
      <c r="AT1" s="1" t="s">
        <v>52</v>
      </c>
      <c r="AU1" s="1" t="s">
        <v>53</v>
      </c>
      <c r="AV1" s="1" t="s">
        <v>54</v>
      </c>
      <c r="AW1" s="15" t="s">
        <v>33</v>
      </c>
      <c r="AX1" s="1" t="s">
        <v>34</v>
      </c>
      <c r="AY1" s="1" t="s">
        <v>48</v>
      </c>
      <c r="AZ1" s="1" t="s">
        <v>35</v>
      </c>
      <c r="BA1" s="14" t="s">
        <v>36</v>
      </c>
      <c r="BB1" s="1" t="s">
        <v>37</v>
      </c>
      <c r="BC1" s="1" t="s">
        <v>38</v>
      </c>
      <c r="BD1" s="1" t="s">
        <v>39</v>
      </c>
    </row>
    <row r="2" spans="1:56" x14ac:dyDescent="0.2">
      <c r="A2" s="2">
        <v>1</v>
      </c>
      <c r="B2" s="4">
        <v>45292</v>
      </c>
      <c r="C2" s="5">
        <v>829.89576721191406</v>
      </c>
      <c r="D2" s="5">
        <v>566.8405494689946</v>
      </c>
      <c r="E2" s="5">
        <v>14.459604922930399</v>
      </c>
      <c r="F2" s="5">
        <v>565.47481536865234</v>
      </c>
      <c r="G2" s="5">
        <v>90.976032257080078</v>
      </c>
      <c r="H2" s="5">
        <v>2.0163604017420349</v>
      </c>
      <c r="I2" s="5">
        <v>230.48198858896899</v>
      </c>
      <c r="J2" s="5">
        <v>837.28169250488281</v>
      </c>
      <c r="K2" s="5">
        <v>125.7328290409512</v>
      </c>
      <c r="L2" s="5">
        <v>4.51495220263799</v>
      </c>
      <c r="M2" s="5">
        <v>564.38824081420933</v>
      </c>
      <c r="N2" s="5">
        <v>14.376630822817489</v>
      </c>
      <c r="O2" s="5">
        <v>565.47481536865234</v>
      </c>
      <c r="P2" s="5">
        <v>1.9632986883322401</v>
      </c>
      <c r="Q2" s="5">
        <v>10.377580881118771</v>
      </c>
      <c r="R2" s="5">
        <v>2.190785760680837</v>
      </c>
      <c r="S2" s="5">
        <v>15.681774894396471</v>
      </c>
      <c r="T2" s="5">
        <v>-92.340199417538145</v>
      </c>
      <c r="U2" s="5">
        <v>35.935671170552602</v>
      </c>
      <c r="V2" s="5">
        <v>456.60549293238012</v>
      </c>
      <c r="W2" s="5">
        <v>167.73442046853901</v>
      </c>
      <c r="X2" s="5">
        <v>-6.6999684518467566</v>
      </c>
      <c r="Y2" s="5">
        <v>95354.412915682493</v>
      </c>
      <c r="Z2" s="5">
        <v>6.5279472093139752</v>
      </c>
      <c r="AA2" s="5">
        <v>12.09212052916032</v>
      </c>
      <c r="AB2" s="5">
        <v>99.87041208677789</v>
      </c>
      <c r="AC2" s="5">
        <v>-0.25779925238295859</v>
      </c>
      <c r="AD2" s="5">
        <v>465.34107432367659</v>
      </c>
      <c r="AE2" s="5">
        <v>49.699117997414561</v>
      </c>
      <c r="AF2" s="5">
        <v>19.73234764925326</v>
      </c>
      <c r="AG2" s="5">
        <v>93.51</v>
      </c>
      <c r="AH2" s="5">
        <f>h_pt(E2*10,D2)</f>
        <v>3501.0921698360821</v>
      </c>
      <c r="AI2" s="5">
        <f>s_pt(E2*10,D2)</f>
        <v>6.5993587202770163</v>
      </c>
      <c r="AJ2" s="6">
        <v>2.19</v>
      </c>
      <c r="AK2" s="6">
        <v>317.32</v>
      </c>
      <c r="AL2" s="5">
        <f>h_pt(AJ2*10,AK2)</f>
        <v>3059.1775292419138</v>
      </c>
      <c r="AM2" s="5">
        <f>h_ps(AJ2*10,AI2)</f>
        <v>2951.7161178851629</v>
      </c>
      <c r="AN2" s="5">
        <f>+AH2-AL2</f>
        <v>441.9146405941683</v>
      </c>
      <c r="AO2" s="5">
        <f>+AH2-AM2</f>
        <v>549.37605195091919</v>
      </c>
      <c r="AP2" s="5">
        <f>+(AN2/AO2)*100</f>
        <v>80.439370996398765</v>
      </c>
      <c r="AQ2" s="5">
        <v>4.5683333333333334</v>
      </c>
      <c r="AR2" s="5">
        <v>5.1150000000000002</v>
      </c>
      <c r="AS2" s="5">
        <v>31</v>
      </c>
      <c r="AT2" s="5">
        <v>356.55</v>
      </c>
      <c r="AU2" s="5">
        <f>((AR2-AQ2)/(20.9-AR2))*90</f>
        <v>3.1168831168831179</v>
      </c>
      <c r="AV2" s="5">
        <f>K2+((AU2*(K2-AS2))/100)</f>
        <v>128.68554059547435</v>
      </c>
      <c r="AW2" s="6">
        <f>((AT2-AV2)/(AT2-AS2))*100</f>
        <v>69.993690494401989</v>
      </c>
      <c r="AX2" s="5">
        <v>169.40899999999999</v>
      </c>
      <c r="AY2" s="5">
        <f>+AX2*BD2*1000</f>
        <v>721343522</v>
      </c>
      <c r="AZ2" s="5">
        <f>+AY2/(BC2*1000)</f>
        <v>2587.7794511210764</v>
      </c>
      <c r="BA2" s="5">
        <f t="shared" ref="BA2:BA32" si="0">+(AZ2/AG2)*100</f>
        <v>2767.3825806021559</v>
      </c>
      <c r="BB2" s="6">
        <v>294.35000000000002</v>
      </c>
      <c r="BC2" s="6">
        <v>278.75</v>
      </c>
      <c r="BD2" s="6">
        <v>4258</v>
      </c>
    </row>
    <row r="3" spans="1:56" x14ac:dyDescent="0.2">
      <c r="A3" s="2">
        <v>2</v>
      </c>
      <c r="B3" s="4">
        <v>45293</v>
      </c>
      <c r="C3" s="5">
        <v>836.93591562906897</v>
      </c>
      <c r="D3" s="5">
        <v>566.88173548380564</v>
      </c>
      <c r="E3" s="5">
        <v>14.382862035433449</v>
      </c>
      <c r="F3" s="5">
        <v>564.15558369954431</v>
      </c>
      <c r="G3" s="5">
        <v>86.844875971476242</v>
      </c>
      <c r="H3" s="5">
        <v>6.9401465524348778</v>
      </c>
      <c r="I3" s="5">
        <v>230.7746814092003</v>
      </c>
      <c r="J3" s="5">
        <v>839.59938557942712</v>
      </c>
      <c r="K3" s="5">
        <v>128.30236117045081</v>
      </c>
      <c r="L3" s="5">
        <v>4.3980949421723681</v>
      </c>
      <c r="M3" s="5">
        <v>564.46698633829817</v>
      </c>
      <c r="N3" s="5">
        <v>14.294854044914249</v>
      </c>
      <c r="O3" s="5">
        <v>564.15558369954431</v>
      </c>
      <c r="P3" s="5">
        <v>1.980802396933238</v>
      </c>
      <c r="Q3" s="5">
        <v>10.45286266009013</v>
      </c>
      <c r="R3" s="5">
        <v>2.2092050959666572</v>
      </c>
      <c r="S3" s="5">
        <v>15.62280452251434</v>
      </c>
      <c r="T3" s="5">
        <v>-92.339653227064375</v>
      </c>
      <c r="U3" s="5">
        <v>35.985530773798622</v>
      </c>
      <c r="V3" s="5">
        <v>444.48479240345881</v>
      </c>
      <c r="W3" s="5">
        <v>198.13324136226231</v>
      </c>
      <c r="X3" s="5">
        <v>-6.0583455241628377</v>
      </c>
      <c r="Y3" s="5">
        <v>94778.118596449262</v>
      </c>
      <c r="Z3" s="5">
        <v>6.4526217339466916</v>
      </c>
      <c r="AA3" s="5">
        <v>12.076824528102801</v>
      </c>
      <c r="AB3" s="5">
        <v>89.581516398375882</v>
      </c>
      <c r="AC3" s="5">
        <v>-0.23301655900132681</v>
      </c>
      <c r="AD3" s="5">
        <v>464.75243831498011</v>
      </c>
      <c r="AE3" s="5">
        <v>49.69784954549911</v>
      </c>
      <c r="AF3" s="5">
        <v>20.298344655030071</v>
      </c>
      <c r="AG3" s="5">
        <v>93.49</v>
      </c>
      <c r="AH3" s="5">
        <f t="shared" ref="AH3:AH68" si="1">h_pt(E3*10,D3)</f>
        <v>3501.9531766788805</v>
      </c>
      <c r="AI3" s="5">
        <f t="shared" ref="AI3:AI68" si="2">s_pt(E3*10,D3)</f>
        <v>6.6026371467859137</v>
      </c>
      <c r="AJ3" s="6">
        <v>2.2200000000000002</v>
      </c>
      <c r="AK3" s="6">
        <v>318.22000000000003</v>
      </c>
      <c r="AL3" s="5">
        <f t="shared" ref="AL3:AL32" si="3">h_pt(AJ3*10,AK3)</f>
        <v>3060.4837258882044</v>
      </c>
      <c r="AM3" s="5">
        <f t="shared" ref="AM3:AM32" si="4">h_ps(AJ3*10,AI3)</f>
        <v>2956.700406954807</v>
      </c>
      <c r="AN3" s="5">
        <f t="shared" ref="AN3:AN32" si="5">+AH3-AL3</f>
        <v>441.46945079067609</v>
      </c>
      <c r="AO3" s="5">
        <f t="shared" ref="AO3:AO32" si="6">+AH3-AM3</f>
        <v>545.25276972407346</v>
      </c>
      <c r="AP3" s="5">
        <f t="shared" ref="AP3:AP32" si="7">+(AN3/AO3)*100</f>
        <v>80.966017103238713</v>
      </c>
      <c r="AQ3" s="5">
        <v>4.5683333333333334</v>
      </c>
      <c r="AR3" s="5">
        <v>5.1150000000000002</v>
      </c>
      <c r="AS3" s="5">
        <v>33</v>
      </c>
      <c r="AT3" s="5">
        <v>356.55</v>
      </c>
      <c r="AU3" s="5">
        <f t="shared" ref="AU3:AU32" si="8">((AR3-AQ3)/(20.9-AR3))*90</f>
        <v>3.1168831168831179</v>
      </c>
      <c r="AV3" s="5">
        <f t="shared" ref="AV3:AV32" si="9">K3+((AU3*(K3-AS3))/100)</f>
        <v>131.27282437576355</v>
      </c>
      <c r="AW3" s="6">
        <f t="shared" ref="AW3:AW32" si="10">((AT3-AV3)/(AT3-AS3))*100</f>
        <v>69.626696221368093</v>
      </c>
      <c r="AX3" s="5">
        <v>167.37899999999999</v>
      </c>
      <c r="AY3" s="5">
        <f t="shared" ref="AY3:AY68" si="11">+AX3*BD3*1000</f>
        <v>712699782</v>
      </c>
      <c r="AZ3" s="5">
        <f t="shared" ref="AZ3:AZ31" si="12">+AY3/(BC3*1000)</f>
        <v>2528.380097914006</v>
      </c>
      <c r="BA3" s="5">
        <f t="shared" si="0"/>
        <v>2704.4390821628044</v>
      </c>
      <c r="BB3" s="6">
        <v>297.41000000000003</v>
      </c>
      <c r="BC3" s="6">
        <v>281.88</v>
      </c>
      <c r="BD3" s="6">
        <v>4258</v>
      </c>
    </row>
    <row r="4" spans="1:56" x14ac:dyDescent="0.2">
      <c r="A4" s="2">
        <v>3</v>
      </c>
      <c r="B4" s="4">
        <v>45294</v>
      </c>
      <c r="C4" s="5">
        <v>828.63426971435547</v>
      </c>
      <c r="D4" s="5">
        <v>567.29164632161496</v>
      </c>
      <c r="E4" s="5">
        <v>14.598511052131659</v>
      </c>
      <c r="F4" s="5">
        <v>565.34413146972656</v>
      </c>
      <c r="G4" s="5">
        <v>82.290412267049149</v>
      </c>
      <c r="H4" s="5">
        <v>2.8263833907076328</v>
      </c>
      <c r="I4" s="5">
        <v>230.40634441375741</v>
      </c>
      <c r="J4" s="5">
        <v>838.67583465576172</v>
      </c>
      <c r="K4" s="5">
        <v>126.8139257431031</v>
      </c>
      <c r="L4" s="5">
        <v>4.5453597108523054</v>
      </c>
      <c r="M4" s="5">
        <v>565.13016382853186</v>
      </c>
      <c r="N4" s="5">
        <v>14.51632098356883</v>
      </c>
      <c r="O4" s="5">
        <v>565.34413146972656</v>
      </c>
      <c r="P4" s="5">
        <v>1.9604144692420959</v>
      </c>
      <c r="Q4" s="5">
        <v>10.385077595710751</v>
      </c>
      <c r="R4" s="5">
        <v>2.187680264314015</v>
      </c>
      <c r="S4" s="5">
        <v>15.832379976908371</v>
      </c>
      <c r="T4" s="5">
        <v>-92.284748978084977</v>
      </c>
      <c r="U4" s="5">
        <v>36.173967440923057</v>
      </c>
      <c r="V4" s="5">
        <v>454.78433350634577</v>
      </c>
      <c r="W4" s="5">
        <v>207.30946082118061</v>
      </c>
      <c r="X4" s="5">
        <v>-2.77378094286277</v>
      </c>
      <c r="Y4" s="5">
        <v>98286.309893686688</v>
      </c>
      <c r="Z4" s="5">
        <v>6.5591358072953314</v>
      </c>
      <c r="AA4" s="5">
        <v>12.11334524205612</v>
      </c>
      <c r="AB4" s="5">
        <v>90.156247817779374</v>
      </c>
      <c r="AC4" s="5">
        <v>-0.23609670803271021</v>
      </c>
      <c r="AD4" s="5">
        <v>466.15786495004568</v>
      </c>
      <c r="AE4" s="5">
        <v>49.697796609479013</v>
      </c>
      <c r="AF4" s="5">
        <v>16.580269030013419</v>
      </c>
      <c r="AG4" s="5">
        <v>93.5</v>
      </c>
      <c r="AH4" s="5">
        <f t="shared" si="1"/>
        <v>3500.9270982308481</v>
      </c>
      <c r="AI4" s="5">
        <f t="shared" si="2"/>
        <v>6.5951162019735827</v>
      </c>
      <c r="AJ4" s="6">
        <v>2.19</v>
      </c>
      <c r="AK4" s="6">
        <v>317.45999999999998</v>
      </c>
      <c r="AL4" s="5">
        <f t="shared" si="3"/>
        <v>3059.500907884129</v>
      </c>
      <c r="AM4" s="5">
        <f t="shared" si="4"/>
        <v>2949.4044916916132</v>
      </c>
      <c r="AN4" s="5">
        <f t="shared" si="5"/>
        <v>441.42619034671907</v>
      </c>
      <c r="AO4" s="5">
        <f t="shared" si="6"/>
        <v>551.52260653923486</v>
      </c>
      <c r="AP4" s="5">
        <f t="shared" si="7"/>
        <v>80.037732835039535</v>
      </c>
      <c r="AQ4" s="5">
        <v>4.5583333333333336</v>
      </c>
      <c r="AR4" s="5">
        <v>5.1749999999999998</v>
      </c>
      <c r="AS4" s="5">
        <v>31</v>
      </c>
      <c r="AT4" s="5">
        <v>358.41166666666669</v>
      </c>
      <c r="AU4" s="5">
        <f t="shared" si="8"/>
        <v>3.5294117647058805</v>
      </c>
      <c r="AV4" s="5">
        <f t="shared" si="9"/>
        <v>130.19559371050673</v>
      </c>
      <c r="AW4" s="6">
        <f t="shared" si="10"/>
        <v>69.703097412378895</v>
      </c>
      <c r="AX4" s="5">
        <v>164.88200000000001</v>
      </c>
      <c r="AY4" s="5">
        <f t="shared" si="11"/>
        <v>702067556</v>
      </c>
      <c r="AZ4" s="5">
        <f t="shared" si="12"/>
        <v>2522.2473720136518</v>
      </c>
      <c r="BA4" s="5">
        <f t="shared" si="0"/>
        <v>2697.5907722071142</v>
      </c>
      <c r="BB4" s="6">
        <v>294.11</v>
      </c>
      <c r="BC4" s="6">
        <v>278.35000000000002</v>
      </c>
      <c r="BD4" s="6">
        <v>4258</v>
      </c>
    </row>
    <row r="5" spans="1:56" x14ac:dyDescent="0.2">
      <c r="A5" s="2">
        <v>4</v>
      </c>
      <c r="B5" s="4">
        <v>45295</v>
      </c>
      <c r="C5" s="5">
        <v>830.70092010498047</v>
      </c>
      <c r="D5" s="5">
        <v>566.77789688110352</v>
      </c>
      <c r="E5" s="5">
        <v>14.6722974061966</v>
      </c>
      <c r="F5" s="5">
        <v>564.91457875569665</v>
      </c>
      <c r="G5" s="5">
        <v>66.461621125539139</v>
      </c>
      <c r="H5" s="5">
        <v>4.887414376766448</v>
      </c>
      <c r="I5" s="5">
        <v>230.4035081863405</v>
      </c>
      <c r="J5" s="5">
        <v>833.89303843180335</v>
      </c>
      <c r="K5" s="5">
        <v>125.7036646207175</v>
      </c>
      <c r="L5" s="5">
        <v>4.3570485810438786</v>
      </c>
      <c r="M5" s="5">
        <v>564.46251551310263</v>
      </c>
      <c r="N5" s="5">
        <v>14.59546538194021</v>
      </c>
      <c r="O5" s="5">
        <v>564.91457875569665</v>
      </c>
      <c r="P5" s="5">
        <v>1.965160459280014</v>
      </c>
      <c r="Q5" s="5">
        <v>10.317235350608829</v>
      </c>
      <c r="R5" s="5">
        <v>2.192731464902562</v>
      </c>
      <c r="S5" s="5">
        <v>15.91666261355082</v>
      </c>
      <c r="T5" s="5">
        <v>-92.436081992255325</v>
      </c>
      <c r="U5" s="5">
        <v>35.708826144536353</v>
      </c>
      <c r="V5" s="5">
        <v>470.04815313324212</v>
      </c>
      <c r="W5" s="5">
        <v>208.8891195045353</v>
      </c>
      <c r="X5" s="5">
        <v>4.146512759768445E-4</v>
      </c>
      <c r="Y5" s="5">
        <v>98038.119911901013</v>
      </c>
      <c r="Z5" s="5">
        <v>6.6378630594827612</v>
      </c>
      <c r="AA5" s="5">
        <v>12.048516077531071</v>
      </c>
      <c r="AB5" s="5">
        <v>93.239613171681427</v>
      </c>
      <c r="AC5" s="5">
        <v>-0.2476452955744709</v>
      </c>
      <c r="AD5" s="5">
        <v>463.66304421162818</v>
      </c>
      <c r="AE5" s="5">
        <v>49.706836371861051</v>
      </c>
      <c r="AF5" s="5">
        <v>11.81029386491279</v>
      </c>
      <c r="AG5" s="5">
        <v>93.45</v>
      </c>
      <c r="AH5" s="5">
        <f t="shared" si="1"/>
        <v>3498.838651041191</v>
      </c>
      <c r="AI5" s="5">
        <f t="shared" si="2"/>
        <v>6.5904983980496725</v>
      </c>
      <c r="AJ5" s="6">
        <v>2.19</v>
      </c>
      <c r="AK5" s="6">
        <v>317.24</v>
      </c>
      <c r="AL5" s="5">
        <f t="shared" si="3"/>
        <v>3058.9927204906744</v>
      </c>
      <c r="AM5" s="5">
        <f t="shared" si="4"/>
        <v>2946.8928550995302</v>
      </c>
      <c r="AN5" s="5">
        <f t="shared" si="5"/>
        <v>439.84593055051664</v>
      </c>
      <c r="AO5" s="5">
        <f t="shared" si="6"/>
        <v>551.94579594166089</v>
      </c>
      <c r="AP5" s="5">
        <f t="shared" si="7"/>
        <v>79.690059021122991</v>
      </c>
      <c r="AQ5" s="5">
        <v>4.4783333333333326</v>
      </c>
      <c r="AR5" s="5">
        <v>5.18</v>
      </c>
      <c r="AS5" s="5">
        <v>29</v>
      </c>
      <c r="AT5" s="5">
        <v>365.73</v>
      </c>
      <c r="AU5" s="5">
        <f t="shared" si="8"/>
        <v>4.0171755725190872</v>
      </c>
      <c r="AV5" s="5">
        <f t="shared" si="9"/>
        <v>129.58842061359175</v>
      </c>
      <c r="AW5" s="6">
        <f t="shared" si="10"/>
        <v>70.127870812344682</v>
      </c>
      <c r="AX5" s="5">
        <v>163.78399999999999</v>
      </c>
      <c r="AY5" s="5">
        <f t="shared" si="11"/>
        <v>697392272</v>
      </c>
      <c r="AZ5" s="5">
        <f t="shared" si="12"/>
        <v>2508.6052949640289</v>
      </c>
      <c r="BA5" s="5">
        <f t="shared" si="0"/>
        <v>2684.4358426581371</v>
      </c>
      <c r="BB5" s="6">
        <v>294.01</v>
      </c>
      <c r="BC5" s="6">
        <v>278</v>
      </c>
      <c r="BD5" s="6">
        <v>4258</v>
      </c>
    </row>
    <row r="6" spans="1:56" x14ac:dyDescent="0.2">
      <c r="A6" s="2">
        <v>5</v>
      </c>
      <c r="B6" s="4">
        <v>45296</v>
      </c>
      <c r="C6" s="5">
        <v>840.83675638834632</v>
      </c>
      <c r="D6" s="5">
        <v>566.16480127970397</v>
      </c>
      <c r="E6" s="5">
        <v>14.71866507530212</v>
      </c>
      <c r="F6" s="5">
        <v>564.70151519775391</v>
      </c>
      <c r="G6" s="5">
        <v>85.227666219075516</v>
      </c>
      <c r="H6" s="5">
        <v>1.688370806153519</v>
      </c>
      <c r="I6" s="5">
        <v>230.92114925384541</v>
      </c>
      <c r="J6" s="5">
        <v>846.45844523111975</v>
      </c>
      <c r="K6" s="5">
        <v>123.79501809014219</v>
      </c>
      <c r="L6" s="5">
        <v>4.3782927791277571</v>
      </c>
      <c r="M6" s="5">
        <v>563.79666264852005</v>
      </c>
      <c r="N6" s="5">
        <v>14.632376472155251</v>
      </c>
      <c r="O6" s="5">
        <v>564.70151519775391</v>
      </c>
      <c r="P6" s="5">
        <v>1.9893635114034021</v>
      </c>
      <c r="Q6" s="5">
        <v>10.4747230609258</v>
      </c>
      <c r="R6" s="5">
        <v>2.2190556824207319</v>
      </c>
      <c r="S6" s="5">
        <v>15.95258541901906</v>
      </c>
      <c r="T6" s="5">
        <v>-92.398877832624635</v>
      </c>
      <c r="U6" s="5">
        <v>35.782586574554443</v>
      </c>
      <c r="V6" s="5">
        <v>446.73428174188223</v>
      </c>
      <c r="W6" s="5">
        <v>210.27759520939401</v>
      </c>
      <c r="X6" s="5">
        <v>0</v>
      </c>
      <c r="Y6" s="5">
        <v>98310.816289854512</v>
      </c>
      <c r="Z6" s="5">
        <v>6.5378209747364737</v>
      </c>
      <c r="AA6" s="5">
        <v>12.155155886836569</v>
      </c>
      <c r="AB6" s="5">
        <v>90.45568755622152</v>
      </c>
      <c r="AC6" s="5">
        <v>-0.2353331947661956</v>
      </c>
      <c r="AD6" s="5">
        <v>467.76686399313178</v>
      </c>
      <c r="AE6" s="5">
        <v>49.697362757531543</v>
      </c>
      <c r="AF6" s="5">
        <v>7.7450251358177056</v>
      </c>
      <c r="AG6" s="5">
        <v>93.7</v>
      </c>
      <c r="AH6" s="5">
        <f t="shared" si="1"/>
        <v>3496.7518731902837</v>
      </c>
      <c r="AI6" s="5">
        <f t="shared" si="2"/>
        <v>6.5866795619503069</v>
      </c>
      <c r="AJ6" s="6">
        <v>2.2200000000000002</v>
      </c>
      <c r="AK6" s="6">
        <v>316.52999999999997</v>
      </c>
      <c r="AL6" s="5">
        <f t="shared" si="3"/>
        <v>3056.5714529430879</v>
      </c>
      <c r="AM6" s="5">
        <f t="shared" si="4"/>
        <v>2947.9871990090419</v>
      </c>
      <c r="AN6" s="5">
        <f t="shared" si="5"/>
        <v>440.1804202471958</v>
      </c>
      <c r="AO6" s="5">
        <f t="shared" si="6"/>
        <v>548.76467418124184</v>
      </c>
      <c r="AP6" s="5">
        <f t="shared" si="7"/>
        <v>80.212965767876</v>
      </c>
      <c r="AQ6" s="5">
        <v>4.3883333333333328</v>
      </c>
      <c r="AR6" s="5">
        <v>5.1349999999999998</v>
      </c>
      <c r="AS6" s="5">
        <v>34</v>
      </c>
      <c r="AT6" s="5">
        <v>356.24166666666662</v>
      </c>
      <c r="AU6" s="5">
        <f t="shared" si="8"/>
        <v>4.2626070409134176</v>
      </c>
      <c r="AV6" s="5">
        <f t="shared" si="9"/>
        <v>127.62262685364207</v>
      </c>
      <c r="AW6" s="6">
        <f t="shared" si="10"/>
        <v>70.94645524208785</v>
      </c>
      <c r="AX6" s="5">
        <v>170.53299999999999</v>
      </c>
      <c r="AY6" s="5">
        <f t="shared" si="11"/>
        <v>726129514</v>
      </c>
      <c r="AZ6" s="5">
        <f t="shared" si="12"/>
        <v>2582.8039908942164</v>
      </c>
      <c r="BA6" s="5">
        <f t="shared" si="0"/>
        <v>2756.4610361731229</v>
      </c>
      <c r="BB6" s="6">
        <v>297.75</v>
      </c>
      <c r="BC6" s="6">
        <v>281.14</v>
      </c>
      <c r="BD6" s="6">
        <v>4258</v>
      </c>
    </row>
    <row r="7" spans="1:56" x14ac:dyDescent="0.2">
      <c r="A7" s="2">
        <v>6</v>
      </c>
      <c r="B7" s="4">
        <v>45297</v>
      </c>
      <c r="C7" s="5">
        <v>829.40741729736328</v>
      </c>
      <c r="D7" s="5">
        <v>566.60963058471771</v>
      </c>
      <c r="E7" s="5">
        <v>14.43706189791361</v>
      </c>
      <c r="F7" s="5">
        <v>564.89302317301429</v>
      </c>
      <c r="G7" s="5">
        <v>86.998792012532547</v>
      </c>
      <c r="H7" s="5">
        <v>3.3323511812873221</v>
      </c>
      <c r="I7" s="5">
        <v>230.30894502003991</v>
      </c>
      <c r="J7" s="5">
        <v>833.30255126953125</v>
      </c>
      <c r="K7" s="5">
        <v>121.4385693868002</v>
      </c>
      <c r="L7" s="5">
        <v>4.4974418878555298</v>
      </c>
      <c r="M7" s="5">
        <v>564.06156667073606</v>
      </c>
      <c r="N7" s="5">
        <v>14.350592732429501</v>
      </c>
      <c r="O7" s="5">
        <v>564.89302317301429</v>
      </c>
      <c r="P7" s="5">
        <v>1.9632223794857659</v>
      </c>
      <c r="Q7" s="5">
        <v>10.32098396619161</v>
      </c>
      <c r="R7" s="5">
        <v>2.1903813630342501</v>
      </c>
      <c r="S7" s="5">
        <v>15.64613044261932</v>
      </c>
      <c r="T7" s="5">
        <v>-92.483220895131424</v>
      </c>
      <c r="U7" s="5">
        <v>35.673444827397688</v>
      </c>
      <c r="V7" s="5">
        <v>443.18835308063558</v>
      </c>
      <c r="W7" s="5">
        <v>221.655726073447</v>
      </c>
      <c r="X7" s="5">
        <v>0</v>
      </c>
      <c r="Y7" s="5">
        <v>97392.541918732473</v>
      </c>
      <c r="Z7" s="5">
        <v>6.7470182652186432</v>
      </c>
      <c r="AA7" s="5">
        <v>11.871762050543911</v>
      </c>
      <c r="AB7" s="5">
        <v>84.859938717879714</v>
      </c>
      <c r="AC7" s="5">
        <v>-0.22686766894077731</v>
      </c>
      <c r="AD7" s="5">
        <v>456.86101899108149</v>
      </c>
      <c r="AE7" s="5">
        <v>49.708935440406087</v>
      </c>
      <c r="AF7" s="5">
        <v>6.2442674460233967</v>
      </c>
      <c r="AG7" s="5">
        <v>93.7</v>
      </c>
      <c r="AH7" s="5">
        <f t="shared" si="1"/>
        <v>3500.7014626328305</v>
      </c>
      <c r="AI7" s="5">
        <f t="shared" si="2"/>
        <v>6.5995540606846674</v>
      </c>
      <c r="AJ7" s="6">
        <v>2.19</v>
      </c>
      <c r="AK7" s="6">
        <v>317.5</v>
      </c>
      <c r="AL7" s="5">
        <f t="shared" si="3"/>
        <v>3059.5932932232686</v>
      </c>
      <c r="AM7" s="5">
        <f t="shared" si="4"/>
        <v>2951.8226482756472</v>
      </c>
      <c r="AN7" s="5">
        <f t="shared" si="5"/>
        <v>441.10816940956192</v>
      </c>
      <c r="AO7" s="5">
        <f t="shared" si="6"/>
        <v>548.87881435718327</v>
      </c>
      <c r="AP7" s="5">
        <f t="shared" si="7"/>
        <v>80.365311589984316</v>
      </c>
      <c r="AQ7" s="5">
        <v>4.5466666666666669</v>
      </c>
      <c r="AR7" s="5">
        <v>5.2149999999999999</v>
      </c>
      <c r="AS7" s="5">
        <v>31</v>
      </c>
      <c r="AT7" s="5">
        <v>353.78166666666669</v>
      </c>
      <c r="AU7" s="5">
        <f t="shared" si="8"/>
        <v>3.8348740835192845</v>
      </c>
      <c r="AV7" s="5">
        <f t="shared" si="9"/>
        <v>124.9067746457202</v>
      </c>
      <c r="AW7" s="6">
        <f t="shared" si="10"/>
        <v>70.907029629196145</v>
      </c>
      <c r="AX7" s="5">
        <v>164.20599999999999</v>
      </c>
      <c r="AY7" s="5">
        <f t="shared" si="11"/>
        <v>694755586</v>
      </c>
      <c r="AZ7" s="5">
        <f t="shared" si="12"/>
        <v>2505.7005301691493</v>
      </c>
      <c r="BA7" s="5">
        <f t="shared" si="0"/>
        <v>2674.1734580247057</v>
      </c>
      <c r="BB7" s="6">
        <v>293.67</v>
      </c>
      <c r="BC7" s="6">
        <v>277.27</v>
      </c>
      <c r="BD7" s="6">
        <v>4231</v>
      </c>
    </row>
    <row r="8" spans="1:56" x14ac:dyDescent="0.2">
      <c r="A8" s="2">
        <v>7</v>
      </c>
      <c r="B8" s="4">
        <v>45298</v>
      </c>
      <c r="C8" s="5">
        <v>844.06034342447913</v>
      </c>
      <c r="D8" s="5">
        <v>566.58007685343455</v>
      </c>
      <c r="E8" s="5">
        <v>14.64737015565237</v>
      </c>
      <c r="F8" s="5">
        <v>565.18306223551429</v>
      </c>
      <c r="G8" s="5">
        <v>75.631458441416427</v>
      </c>
      <c r="H8" s="5">
        <v>6.8952647901642186</v>
      </c>
      <c r="I8" s="5">
        <v>230.977822303772</v>
      </c>
      <c r="J8" s="5">
        <v>845.7632726033529</v>
      </c>
      <c r="K8" s="5">
        <v>122.2400470839607</v>
      </c>
      <c r="L8" s="5">
        <v>4.5529228250185652</v>
      </c>
      <c r="M8" s="5">
        <v>564.1716461181644</v>
      </c>
      <c r="N8" s="5">
        <v>14.56771051883698</v>
      </c>
      <c r="O8" s="5">
        <v>565.18306223551429</v>
      </c>
      <c r="P8" s="5">
        <v>1.9977262119452159</v>
      </c>
      <c r="Q8" s="5">
        <v>10.46376427014669</v>
      </c>
      <c r="R8" s="5">
        <v>2.2280364533265451</v>
      </c>
      <c r="S8" s="5">
        <v>15.90541708469391</v>
      </c>
      <c r="T8" s="5">
        <v>-92.446314652760805</v>
      </c>
      <c r="U8" s="5">
        <v>35.700206995010383</v>
      </c>
      <c r="V8" s="5">
        <v>456.6169508610194</v>
      </c>
      <c r="W8" s="5">
        <v>223.84779221162981</v>
      </c>
      <c r="X8" s="5">
        <v>0</v>
      </c>
      <c r="Y8" s="5">
        <v>97555.954600017911</v>
      </c>
      <c r="Z8" s="5">
        <v>6.7380003313336863</v>
      </c>
      <c r="AA8" s="5">
        <v>12.109333946297779</v>
      </c>
      <c r="AB8" s="5">
        <v>85.150811460451635</v>
      </c>
      <c r="AC8" s="5">
        <v>-0.22659451891793289</v>
      </c>
      <c r="AD8" s="5">
        <v>466.00349825537728</v>
      </c>
      <c r="AE8" s="5">
        <v>49.709147612817077</v>
      </c>
      <c r="AF8" s="5">
        <v>7.4959719420600797</v>
      </c>
      <c r="AG8" s="5">
        <v>93.7</v>
      </c>
      <c r="AH8" s="5">
        <f t="shared" si="1"/>
        <v>3498.5578617932324</v>
      </c>
      <c r="AI8" s="5">
        <f t="shared" si="2"/>
        <v>6.5908829058459357</v>
      </c>
      <c r="AJ8" s="6">
        <v>2.2200000000000002</v>
      </c>
      <c r="AK8" s="6">
        <v>317.82</v>
      </c>
      <c r="AL8" s="5">
        <f t="shared" si="3"/>
        <v>3059.5583716838883</v>
      </c>
      <c r="AM8" s="5">
        <f t="shared" si="4"/>
        <v>2950.2769096275442</v>
      </c>
      <c r="AN8" s="5">
        <f t="shared" si="5"/>
        <v>438.99949010934415</v>
      </c>
      <c r="AO8" s="5">
        <f t="shared" si="6"/>
        <v>548.28095216568818</v>
      </c>
      <c r="AP8" s="5">
        <f t="shared" si="7"/>
        <v>80.068346050562837</v>
      </c>
      <c r="AQ8" s="5">
        <v>4.58</v>
      </c>
      <c r="AR8" s="5">
        <v>5.24</v>
      </c>
      <c r="AS8" s="5">
        <v>33</v>
      </c>
      <c r="AT8" s="12">
        <v>359.24166666666673</v>
      </c>
      <c r="AU8" s="5">
        <f t="shared" si="8"/>
        <v>3.7931034482758634</v>
      </c>
      <c r="AV8" s="5">
        <f t="shared" si="9"/>
        <v>125.62501438714543</v>
      </c>
      <c r="AW8" s="6">
        <f t="shared" si="10"/>
        <v>71.608465793615551</v>
      </c>
      <c r="AX8" s="5">
        <v>167.821</v>
      </c>
      <c r="AY8" s="5">
        <f t="shared" si="11"/>
        <v>710050651</v>
      </c>
      <c r="AZ8" s="5">
        <f t="shared" si="12"/>
        <v>2521.755339702383</v>
      </c>
      <c r="BA8" s="5">
        <f t="shared" si="0"/>
        <v>2691.3077264699928</v>
      </c>
      <c r="BB8" s="6">
        <v>298</v>
      </c>
      <c r="BC8" s="6">
        <v>281.57</v>
      </c>
      <c r="BD8" s="6">
        <v>4231</v>
      </c>
    </row>
    <row r="9" spans="1:56" x14ac:dyDescent="0.2">
      <c r="A9" s="2">
        <v>8</v>
      </c>
      <c r="B9" s="4">
        <v>45299</v>
      </c>
      <c r="C9" s="5">
        <v>831.48284912109375</v>
      </c>
      <c r="D9" s="5">
        <v>566.17552057902083</v>
      </c>
      <c r="E9" s="5">
        <v>14.358960072199499</v>
      </c>
      <c r="F9" s="5">
        <v>565.40226491292321</v>
      </c>
      <c r="G9" s="5">
        <v>93.895783265431717</v>
      </c>
      <c r="H9" s="5">
        <v>2.5275817032337118</v>
      </c>
      <c r="I9" s="5">
        <v>230.4233649571739</v>
      </c>
      <c r="J9" s="5">
        <v>836.96583302815759</v>
      </c>
      <c r="K9" s="5">
        <v>122.107027636634</v>
      </c>
      <c r="L9" s="5">
        <v>4.4976013501485186</v>
      </c>
      <c r="M9" s="5">
        <v>563.91657892862941</v>
      </c>
      <c r="N9" s="5">
        <v>14.2734516064326</v>
      </c>
      <c r="O9" s="5">
        <v>565.40226491292321</v>
      </c>
      <c r="P9" s="5">
        <v>1.9683804015318549</v>
      </c>
      <c r="Q9" s="5">
        <v>10.37217315038045</v>
      </c>
      <c r="R9" s="5">
        <v>2.1952570825815219</v>
      </c>
      <c r="S9" s="5">
        <v>15.606194178263349</v>
      </c>
      <c r="T9" s="5">
        <v>-92.497443728976762</v>
      </c>
      <c r="U9" s="5">
        <v>35.722550630569472</v>
      </c>
      <c r="V9" s="5">
        <v>441.78563120995409</v>
      </c>
      <c r="W9" s="5">
        <v>239.63012461402121</v>
      </c>
      <c r="X9" s="5">
        <v>0</v>
      </c>
      <c r="Y9" s="5">
        <v>96951.229201005262</v>
      </c>
      <c r="Z9" s="5">
        <v>6.8056034385754094</v>
      </c>
      <c r="AA9" s="5">
        <v>11.985902700770581</v>
      </c>
      <c r="AB9" s="5">
        <v>84.214935525328841</v>
      </c>
      <c r="AC9" s="5">
        <v>-0.22399219107347251</v>
      </c>
      <c r="AD9" s="5">
        <v>461.25349363375472</v>
      </c>
      <c r="AE9" s="5">
        <v>49.708262839382797</v>
      </c>
      <c r="AF9" s="5">
        <v>6.8613927177343674</v>
      </c>
      <c r="AG9" s="5">
        <v>93.7</v>
      </c>
      <c r="AH9" s="5">
        <f t="shared" si="1"/>
        <v>3500.3185048995647</v>
      </c>
      <c r="AI9" s="5">
        <f t="shared" si="2"/>
        <v>6.6013947837493987</v>
      </c>
      <c r="AJ9" s="6">
        <v>2.2000000000000002</v>
      </c>
      <c r="AK9" s="6">
        <v>318.13</v>
      </c>
      <c r="AL9" s="5">
        <f t="shared" si="3"/>
        <v>3060.7906095676512</v>
      </c>
      <c r="AM9" s="5">
        <f t="shared" si="4"/>
        <v>2953.8950292674649</v>
      </c>
      <c r="AN9" s="5">
        <f t="shared" si="5"/>
        <v>439.52789533191344</v>
      </c>
      <c r="AO9" s="5">
        <f t="shared" si="6"/>
        <v>546.42347563209978</v>
      </c>
      <c r="AP9" s="5">
        <f t="shared" si="7"/>
        <v>80.437227705758787</v>
      </c>
      <c r="AQ9" s="5">
        <v>4.55</v>
      </c>
      <c r="AR9" s="5">
        <v>5.2249999999999996</v>
      </c>
      <c r="AS9" s="5">
        <v>31</v>
      </c>
      <c r="AT9" s="5">
        <v>354.33499999999998</v>
      </c>
      <c r="AU9" s="5">
        <f t="shared" si="8"/>
        <v>3.875598086124401</v>
      </c>
      <c r="AV9" s="5">
        <f t="shared" si="9"/>
        <v>125.63796985604422</v>
      </c>
      <c r="AW9" s="6">
        <f t="shared" si="10"/>
        <v>70.730675659596329</v>
      </c>
      <c r="AX9" s="5">
        <v>166.84299999999999</v>
      </c>
      <c r="AY9" s="5">
        <f t="shared" si="11"/>
        <v>705912733</v>
      </c>
      <c r="AZ9" s="5">
        <f t="shared" si="12"/>
        <v>2534.6046210189938</v>
      </c>
      <c r="BA9" s="5">
        <f t="shared" si="0"/>
        <v>2705.0209402550627</v>
      </c>
      <c r="BB9" s="6">
        <v>295.05</v>
      </c>
      <c r="BC9" s="6">
        <v>278.51</v>
      </c>
      <c r="BD9" s="6">
        <v>4231</v>
      </c>
    </row>
    <row r="10" spans="1:56" x14ac:dyDescent="0.2">
      <c r="A10" s="2">
        <v>9</v>
      </c>
      <c r="B10" s="4">
        <v>45300</v>
      </c>
      <c r="C10" s="5">
        <v>846.22007751464844</v>
      </c>
      <c r="D10" s="5">
        <v>565.42737070719397</v>
      </c>
      <c r="E10" s="5">
        <v>14.75221145947774</v>
      </c>
      <c r="F10" s="5">
        <v>564.79373168945312</v>
      </c>
      <c r="G10" s="5">
        <v>88.501141230265304</v>
      </c>
      <c r="H10" s="5">
        <v>4.6839535506042012</v>
      </c>
      <c r="I10" s="5">
        <v>231.13277912139901</v>
      </c>
      <c r="J10" s="5">
        <v>846.66431427001953</v>
      </c>
      <c r="K10" s="5">
        <v>122.07940536075159</v>
      </c>
      <c r="L10" s="5">
        <v>4.4591210683186846</v>
      </c>
      <c r="M10" s="5">
        <v>563.13799667358433</v>
      </c>
      <c r="N10" s="5">
        <v>14.67094727357229</v>
      </c>
      <c r="O10" s="5">
        <v>564.79373168945312</v>
      </c>
      <c r="P10" s="5">
        <v>2.0027316262324648</v>
      </c>
      <c r="Q10" s="5">
        <v>10.5035936832428</v>
      </c>
      <c r="R10" s="5">
        <v>2.2335912237564761</v>
      </c>
      <c r="S10" s="5">
        <v>15.99534281094869</v>
      </c>
      <c r="T10" s="5">
        <v>-92.328393936157227</v>
      </c>
      <c r="U10" s="5">
        <v>36.094545841217027</v>
      </c>
      <c r="V10" s="5">
        <v>461.12034128716641</v>
      </c>
      <c r="W10" s="5">
        <v>226.03556497216789</v>
      </c>
      <c r="X10" s="5">
        <v>0</v>
      </c>
      <c r="Y10" s="5">
        <v>96682.091525966898</v>
      </c>
      <c r="Z10" s="5">
        <v>6.7327685597993296</v>
      </c>
      <c r="AA10" s="5">
        <v>11.872435354654961</v>
      </c>
      <c r="AB10" s="5">
        <v>76.963294645239941</v>
      </c>
      <c r="AC10" s="5">
        <v>-0.20045869563273391</v>
      </c>
      <c r="AD10" s="5">
        <v>456.88692975318662</v>
      </c>
      <c r="AE10" s="5">
        <v>49.708838997048531</v>
      </c>
      <c r="AF10" s="5">
        <v>6.3918975797320767</v>
      </c>
      <c r="AG10" s="5">
        <v>93.73</v>
      </c>
      <c r="AH10" s="5">
        <f t="shared" si="1"/>
        <v>3494.4573157324462</v>
      </c>
      <c r="AI10" s="5">
        <f t="shared" si="2"/>
        <v>6.5829829621867129</v>
      </c>
      <c r="AJ10" s="6">
        <v>2.23</v>
      </c>
      <c r="AK10" s="6">
        <v>316.73</v>
      </c>
      <c r="AL10" s="5">
        <f t="shared" si="3"/>
        <v>3056.774635721607</v>
      </c>
      <c r="AM10" s="5">
        <f t="shared" si="4"/>
        <v>2947.0232248565076</v>
      </c>
      <c r="AN10" s="5">
        <f t="shared" si="5"/>
        <v>437.68268001083925</v>
      </c>
      <c r="AO10" s="5">
        <f t="shared" si="6"/>
        <v>547.43409087593864</v>
      </c>
      <c r="AP10" s="5">
        <f t="shared" si="7"/>
        <v>79.951666749601173</v>
      </c>
      <c r="AQ10" s="5">
        <v>4.4216666666666669</v>
      </c>
      <c r="AR10" s="5">
        <v>5.1999999999999993</v>
      </c>
      <c r="AS10" s="5">
        <v>32</v>
      </c>
      <c r="AT10" s="5">
        <v>352.90333333333336</v>
      </c>
      <c r="AU10" s="5">
        <f t="shared" si="8"/>
        <v>4.461783439490441</v>
      </c>
      <c r="AV10" s="5">
        <f t="shared" si="9"/>
        <v>126.09855335152908</v>
      </c>
      <c r="AW10" s="6">
        <f t="shared" si="10"/>
        <v>70.676978523689669</v>
      </c>
      <c r="AX10" s="5">
        <v>170.34299999999999</v>
      </c>
      <c r="AY10" s="5">
        <f t="shared" si="11"/>
        <v>723617063.99999988</v>
      </c>
      <c r="AZ10" s="5">
        <f t="shared" si="12"/>
        <v>2561.9297716409978</v>
      </c>
      <c r="BA10" s="5">
        <f t="shared" si="0"/>
        <v>2733.3081954987706</v>
      </c>
      <c r="BB10" s="6">
        <v>299.27</v>
      </c>
      <c r="BC10" s="6">
        <v>282.45</v>
      </c>
      <c r="BD10" s="6">
        <v>4248</v>
      </c>
    </row>
    <row r="11" spans="1:56" x14ac:dyDescent="0.2">
      <c r="A11" s="2">
        <v>10</v>
      </c>
      <c r="B11" s="4">
        <v>45301</v>
      </c>
      <c r="C11" s="5">
        <v>833.67453765869141</v>
      </c>
      <c r="D11" s="5">
        <v>565.79247538248717</v>
      </c>
      <c r="E11" s="5">
        <v>14.42890776793163</v>
      </c>
      <c r="F11" s="5">
        <v>564.38647969563806</v>
      </c>
      <c r="G11" s="5">
        <v>75.318585236867264</v>
      </c>
      <c r="H11" s="5">
        <v>6.0795226568592922</v>
      </c>
      <c r="I11" s="5">
        <v>230.36284351348891</v>
      </c>
      <c r="J11" s="5">
        <v>836.98901621500647</v>
      </c>
      <c r="K11" s="5">
        <v>123.2727664311728</v>
      </c>
      <c r="L11" s="5">
        <v>4.4959035317103071</v>
      </c>
      <c r="M11" s="5">
        <v>563.39124679565464</v>
      </c>
      <c r="N11" s="5">
        <v>14.34704486529032</v>
      </c>
      <c r="O11" s="5">
        <v>564.38647969563806</v>
      </c>
      <c r="P11" s="5">
        <v>1.97314165532589</v>
      </c>
      <c r="Q11" s="5">
        <v>10.357809344927469</v>
      </c>
      <c r="R11" s="5">
        <v>2.200323522090915</v>
      </c>
      <c r="S11" s="5">
        <v>15.693894465764361</v>
      </c>
      <c r="T11" s="5">
        <v>-92.479197343190492</v>
      </c>
      <c r="U11" s="5">
        <v>35.722528775533043</v>
      </c>
      <c r="V11" s="5">
        <v>443.66003749871112</v>
      </c>
      <c r="W11" s="5">
        <v>232.07246145667091</v>
      </c>
      <c r="X11" s="5">
        <v>-0.18140993947568149</v>
      </c>
      <c r="Y11" s="5">
        <v>96160.951955904078</v>
      </c>
      <c r="Z11" s="5">
        <v>6.841827450562822</v>
      </c>
      <c r="AA11" s="5">
        <v>11.84633758375956</v>
      </c>
      <c r="AB11" s="5">
        <v>81.914676691127639</v>
      </c>
      <c r="AC11" s="5">
        <v>-0.21831854734821329</v>
      </c>
      <c r="AD11" s="5">
        <v>455.88260923581919</v>
      </c>
      <c r="AE11" s="5">
        <v>49.706347768605802</v>
      </c>
      <c r="AF11" s="5">
        <v>7.6294960266346772</v>
      </c>
      <c r="AG11" s="5">
        <v>93.6</v>
      </c>
      <c r="AH11" s="5">
        <f t="shared" si="1"/>
        <v>3498.6163512634125</v>
      </c>
      <c r="AI11" s="5">
        <f t="shared" si="2"/>
        <v>6.597309009921239</v>
      </c>
      <c r="AJ11" s="6">
        <v>2.2000000000000002</v>
      </c>
      <c r="AK11" s="6">
        <v>317.61</v>
      </c>
      <c r="AL11" s="5">
        <f t="shared" si="3"/>
        <v>3059.5892083987137</v>
      </c>
      <c r="AM11" s="5">
        <f t="shared" si="4"/>
        <v>2951.6645669101472</v>
      </c>
      <c r="AN11" s="5">
        <f t="shared" si="5"/>
        <v>439.02714286469882</v>
      </c>
      <c r="AO11" s="5">
        <f t="shared" si="6"/>
        <v>546.95178435326534</v>
      </c>
      <c r="AP11" s="5">
        <f t="shared" si="7"/>
        <v>80.267978901251709</v>
      </c>
      <c r="AQ11" s="5">
        <v>4.53</v>
      </c>
      <c r="AR11" s="5">
        <v>5.335</v>
      </c>
      <c r="AS11" s="5">
        <v>32</v>
      </c>
      <c r="AT11" s="5">
        <v>357.94666666666666</v>
      </c>
      <c r="AU11" s="5">
        <f t="shared" si="8"/>
        <v>4.6546739479601662</v>
      </c>
      <c r="AV11" s="5">
        <f t="shared" si="9"/>
        <v>127.52121611182713</v>
      </c>
      <c r="AW11" s="6">
        <f t="shared" si="10"/>
        <v>70.694219060840084</v>
      </c>
      <c r="AX11" s="5">
        <v>167.85</v>
      </c>
      <c r="AY11" s="5">
        <f t="shared" si="11"/>
        <v>713026799.99999988</v>
      </c>
      <c r="AZ11" s="5">
        <f t="shared" si="12"/>
        <v>2561.8036144145435</v>
      </c>
      <c r="BA11" s="5">
        <f t="shared" si="0"/>
        <v>2736.9696735198113</v>
      </c>
      <c r="BB11" s="6">
        <v>295.08</v>
      </c>
      <c r="BC11" s="6">
        <v>278.33</v>
      </c>
      <c r="BD11" s="6">
        <v>4248</v>
      </c>
    </row>
    <row r="12" spans="1:56" x14ac:dyDescent="0.2">
      <c r="A12" s="2">
        <v>11</v>
      </c>
      <c r="B12" s="4">
        <v>45302</v>
      </c>
      <c r="C12" s="5">
        <v>844.34810638427734</v>
      </c>
      <c r="D12" s="5">
        <v>565.26531982421875</v>
      </c>
      <c r="E12" s="5">
        <v>14.956928579012549</v>
      </c>
      <c r="F12" s="5">
        <v>563.53899637858069</v>
      </c>
      <c r="G12" s="5">
        <v>75.405901590983078</v>
      </c>
      <c r="H12" s="5">
        <v>2.1713755896189468</v>
      </c>
      <c r="I12" s="5">
        <v>231.10829448699971</v>
      </c>
      <c r="J12" s="5">
        <v>852.499989827474</v>
      </c>
      <c r="K12" s="5">
        <v>121.7982888751561</v>
      </c>
      <c r="L12" s="5">
        <v>4.4587491154670724</v>
      </c>
      <c r="M12" s="5">
        <v>562.98583475748705</v>
      </c>
      <c r="N12" s="5">
        <v>14.879996180534359</v>
      </c>
      <c r="O12" s="5">
        <v>563.53899637858069</v>
      </c>
      <c r="P12" s="5">
        <v>1.9977719932794571</v>
      </c>
      <c r="Q12" s="5">
        <v>10.52296507358551</v>
      </c>
      <c r="R12" s="5">
        <v>2.2284103284279539</v>
      </c>
      <c r="S12" s="5">
        <v>16.22661471366882</v>
      </c>
      <c r="T12" s="5">
        <v>-92.29840877321034</v>
      </c>
      <c r="U12" s="5">
        <v>36.064198255538962</v>
      </c>
      <c r="V12" s="5">
        <v>416.52999038185231</v>
      </c>
      <c r="W12" s="5">
        <v>222.10894878621289</v>
      </c>
      <c r="X12" s="5">
        <v>2.45539441602683</v>
      </c>
      <c r="Y12" s="5">
        <v>97863.293001461905</v>
      </c>
      <c r="Z12" s="5">
        <v>6.7083085155752888</v>
      </c>
      <c r="AA12" s="5">
        <v>12.17110096946374</v>
      </c>
      <c r="AB12" s="5">
        <v>86.28489475838758</v>
      </c>
      <c r="AC12" s="5">
        <v>-0.22908261569720739</v>
      </c>
      <c r="AD12" s="5">
        <v>468.38047860787282</v>
      </c>
      <c r="AE12" s="5">
        <v>49.681044965137431</v>
      </c>
      <c r="AF12" s="5">
        <v>7.4330374594257256</v>
      </c>
      <c r="AG12" s="5">
        <v>93.71</v>
      </c>
      <c r="AH12" s="5">
        <f t="shared" si="1"/>
        <v>3491.9985471073355</v>
      </c>
      <c r="AI12" s="5">
        <f t="shared" si="2"/>
        <v>6.5742355592246602</v>
      </c>
      <c r="AJ12" s="5">
        <v>2.23</v>
      </c>
      <c r="AK12" s="5">
        <v>316.06</v>
      </c>
      <c r="AL12" s="5">
        <f t="shared" si="3"/>
        <v>3055.2208539764711</v>
      </c>
      <c r="AM12" s="5">
        <f t="shared" si="4"/>
        <v>2942.2725848549626</v>
      </c>
      <c r="AN12" s="5">
        <f t="shared" si="5"/>
        <v>436.77769313086446</v>
      </c>
      <c r="AO12" s="5">
        <f t="shared" si="6"/>
        <v>549.72596225237294</v>
      </c>
      <c r="AP12" s="5">
        <f t="shared" si="7"/>
        <v>79.453713872503045</v>
      </c>
      <c r="AQ12" s="5">
        <v>4.3983333333333334</v>
      </c>
      <c r="AR12" s="5">
        <v>5.2249999999999996</v>
      </c>
      <c r="AS12" s="5">
        <v>32</v>
      </c>
      <c r="AT12" s="5">
        <v>356.23333333333335</v>
      </c>
      <c r="AU12" s="5">
        <f t="shared" si="8"/>
        <v>4.7464114832535866</v>
      </c>
      <c r="AV12" s="5">
        <f t="shared" si="9"/>
        <v>126.06048517009174</v>
      </c>
      <c r="AW12" s="6">
        <f t="shared" si="10"/>
        <v>70.989878121694744</v>
      </c>
      <c r="AX12" s="5">
        <v>169.458</v>
      </c>
      <c r="AY12" s="5">
        <f t="shared" si="11"/>
        <v>714265470</v>
      </c>
      <c r="AZ12" s="5">
        <f t="shared" si="12"/>
        <v>2529.9853712099743</v>
      </c>
      <c r="BA12" s="5">
        <f t="shared" si="0"/>
        <v>2699.8029785614926</v>
      </c>
      <c r="BB12" s="6">
        <v>298.77</v>
      </c>
      <c r="BC12" s="6">
        <v>282.32</v>
      </c>
      <c r="BD12" s="6">
        <v>4215</v>
      </c>
    </row>
    <row r="13" spans="1:56" x14ac:dyDescent="0.2">
      <c r="A13" s="2">
        <v>12</v>
      </c>
      <c r="B13" s="4">
        <v>45303</v>
      </c>
      <c r="C13" s="5">
        <v>831.99152119954431</v>
      </c>
      <c r="D13" s="5">
        <v>565.54275894165085</v>
      </c>
      <c r="E13" s="5">
        <v>14.49559497038523</v>
      </c>
      <c r="F13" s="5">
        <v>563.91034444173181</v>
      </c>
      <c r="G13" s="5">
        <v>87.837436358133957</v>
      </c>
      <c r="H13" s="5">
        <v>5.2117471535142004</v>
      </c>
      <c r="I13" s="5">
        <v>230.3713585535686</v>
      </c>
      <c r="J13" s="5">
        <v>840.03737894694007</v>
      </c>
      <c r="K13" s="5">
        <v>122.47232071558641</v>
      </c>
      <c r="L13" s="5">
        <v>4.5939556360244751</v>
      </c>
      <c r="M13" s="5">
        <v>563.27668762207099</v>
      </c>
      <c r="N13" s="5">
        <v>14.412282943725589</v>
      </c>
      <c r="O13" s="5">
        <v>563.91034444173181</v>
      </c>
      <c r="P13" s="5">
        <v>1.9692044705152509</v>
      </c>
      <c r="Q13" s="5">
        <v>10.384018977483111</v>
      </c>
      <c r="R13" s="5">
        <v>2.1966152290503209</v>
      </c>
      <c r="S13" s="5">
        <v>15.745394388834629</v>
      </c>
      <c r="T13" s="5">
        <v>-92.538753933376768</v>
      </c>
      <c r="U13" s="5">
        <v>35.526118278503432</v>
      </c>
      <c r="V13" s="5">
        <v>453.03342152202657</v>
      </c>
      <c r="W13" s="5">
        <v>227.55115016628579</v>
      </c>
      <c r="X13" s="5">
        <v>4.1122669247054207</v>
      </c>
      <c r="Y13" s="5">
        <v>96593.269611205455</v>
      </c>
      <c r="Z13" s="5">
        <v>6.6046821167947618</v>
      </c>
      <c r="AA13" s="5">
        <v>12.32914359683279</v>
      </c>
      <c r="AB13" s="5">
        <v>88.905255520972801</v>
      </c>
      <c r="AC13" s="5">
        <v>-0.2365312445158555</v>
      </c>
      <c r="AD13" s="5">
        <v>474.46243303691671</v>
      </c>
      <c r="AE13" s="5">
        <v>49.706905553676187</v>
      </c>
      <c r="AF13" s="5">
        <v>7.8166959269420397</v>
      </c>
      <c r="AG13" s="5">
        <v>93.63</v>
      </c>
      <c r="AH13" s="5">
        <f t="shared" si="1"/>
        <v>3497.2972923308689</v>
      </c>
      <c r="AI13" s="5">
        <f t="shared" si="2"/>
        <v>6.5937855130016496</v>
      </c>
      <c r="AJ13" s="5">
        <v>2.2000000000000002</v>
      </c>
      <c r="AK13" s="5">
        <v>316.87</v>
      </c>
      <c r="AL13" s="5">
        <f t="shared" si="3"/>
        <v>3057.8784068968343</v>
      </c>
      <c r="AM13" s="5">
        <f t="shared" si="4"/>
        <v>2949.7439977847034</v>
      </c>
      <c r="AN13" s="5">
        <f t="shared" si="5"/>
        <v>439.41888543403456</v>
      </c>
      <c r="AO13" s="5">
        <f t="shared" si="6"/>
        <v>547.55329454616549</v>
      </c>
      <c r="AP13" s="5">
        <f t="shared" si="7"/>
        <v>80.251345359586026</v>
      </c>
      <c r="AQ13" s="5">
        <v>4.580000000000001</v>
      </c>
      <c r="AR13" s="5">
        <v>5.3599999999999994</v>
      </c>
      <c r="AS13" s="5">
        <v>32</v>
      </c>
      <c r="AT13" s="5">
        <v>354.36333333333329</v>
      </c>
      <c r="AU13" s="5">
        <f t="shared" si="8"/>
        <v>4.5173745173745088</v>
      </c>
      <c r="AV13" s="5">
        <f t="shared" si="9"/>
        <v>126.55929427686965</v>
      </c>
      <c r="AW13" s="6">
        <f t="shared" si="10"/>
        <v>70.666858014185962</v>
      </c>
      <c r="AX13" s="5">
        <v>170.261</v>
      </c>
      <c r="AY13" s="5">
        <f t="shared" si="11"/>
        <v>717650115</v>
      </c>
      <c r="AZ13" s="5">
        <f t="shared" si="12"/>
        <v>2575.3610672504128</v>
      </c>
      <c r="BA13" s="5">
        <f t="shared" si="0"/>
        <v>2750.5725379156393</v>
      </c>
      <c r="BB13" s="6">
        <v>295.05</v>
      </c>
      <c r="BC13" s="6">
        <v>278.66000000000003</v>
      </c>
      <c r="BD13" s="6">
        <v>4215</v>
      </c>
    </row>
    <row r="14" spans="1:56" x14ac:dyDescent="0.2">
      <c r="A14" s="2">
        <v>13</v>
      </c>
      <c r="B14" s="4">
        <v>45304</v>
      </c>
      <c r="C14" s="5">
        <v>835.97957865397132</v>
      </c>
      <c r="D14" s="5">
        <v>565.8443768819177</v>
      </c>
      <c r="E14" s="5">
        <v>14.32435269355773</v>
      </c>
      <c r="F14" s="5">
        <v>564.19493357340491</v>
      </c>
      <c r="G14" s="5">
        <v>82.386199633280441</v>
      </c>
      <c r="H14" s="5">
        <v>2.074434989433636</v>
      </c>
      <c r="I14" s="5">
        <v>230.61590449015301</v>
      </c>
      <c r="J14" s="5">
        <v>842.228281656901</v>
      </c>
      <c r="K14" s="5">
        <v>122.4382844501072</v>
      </c>
      <c r="L14" s="5">
        <v>4.5716654260953256</v>
      </c>
      <c r="M14" s="5">
        <v>563.57739384969045</v>
      </c>
      <c r="N14" s="5">
        <v>14.237112681070959</v>
      </c>
      <c r="O14" s="5">
        <v>564.19493357340491</v>
      </c>
      <c r="P14" s="5">
        <v>1.978086039423943</v>
      </c>
      <c r="Q14" s="5">
        <v>10.445508877436319</v>
      </c>
      <c r="R14" s="5">
        <v>2.2076714187860502</v>
      </c>
      <c r="S14" s="5">
        <v>15.620221376419069</v>
      </c>
      <c r="T14" s="5">
        <v>-92.534250312381332</v>
      </c>
      <c r="U14" s="5">
        <v>35.49799958864849</v>
      </c>
      <c r="V14" s="5">
        <v>430.30107422299432</v>
      </c>
      <c r="W14" s="5">
        <v>218.44736626922719</v>
      </c>
      <c r="X14" s="5">
        <v>6.5728171313811394</v>
      </c>
      <c r="Y14" s="5">
        <v>96116.419278874106</v>
      </c>
      <c r="Z14" s="5">
        <v>6.6082773907078414</v>
      </c>
      <c r="AA14" s="5">
        <v>11.69358796779847</v>
      </c>
      <c r="AB14" s="5">
        <v>76.017716691600953</v>
      </c>
      <c r="AC14" s="5">
        <v>-0.1989081863911111</v>
      </c>
      <c r="AD14" s="5">
        <v>450.00434576478818</v>
      </c>
      <c r="AE14" s="5">
        <v>49.712732295240272</v>
      </c>
      <c r="AF14" s="5">
        <v>6.6992339008866324</v>
      </c>
      <c r="AG14" s="5">
        <v>93.65</v>
      </c>
      <c r="AH14" s="5">
        <f t="shared" si="1"/>
        <v>3499.7821435540282</v>
      </c>
      <c r="AI14" s="5">
        <f t="shared" si="2"/>
        <v>6.6017775665659615</v>
      </c>
      <c r="AJ14" s="5">
        <v>2.21</v>
      </c>
      <c r="AK14" s="5">
        <v>317.8</v>
      </c>
      <c r="AL14" s="5">
        <f t="shared" si="3"/>
        <v>3059.7702670057238</v>
      </c>
      <c r="AM14" s="5">
        <f t="shared" si="4"/>
        <v>2955.1687670777287</v>
      </c>
      <c r="AN14" s="5">
        <f t="shared" si="5"/>
        <v>440.01187654830437</v>
      </c>
      <c r="AO14" s="5">
        <f t="shared" si="6"/>
        <v>544.61337647629944</v>
      </c>
      <c r="AP14" s="5">
        <f t="shared" si="7"/>
        <v>80.793439080623259</v>
      </c>
      <c r="AQ14" s="5">
        <v>4.5216666666666665</v>
      </c>
      <c r="AR14" s="5">
        <v>5.2350000000000003</v>
      </c>
      <c r="AS14" s="5">
        <v>31</v>
      </c>
      <c r="AT14" s="5">
        <v>357.08666666666664</v>
      </c>
      <c r="AU14" s="5">
        <f t="shared" si="8"/>
        <v>4.0983083306734791</v>
      </c>
      <c r="AV14" s="5">
        <f t="shared" si="9"/>
        <v>126.18570727915086</v>
      </c>
      <c r="AW14" s="6">
        <f t="shared" si="10"/>
        <v>70.809690487451945</v>
      </c>
      <c r="AX14" s="5">
        <v>167.36199999999999</v>
      </c>
      <c r="AY14" s="5">
        <f t="shared" si="11"/>
        <v>705430830</v>
      </c>
      <c r="AZ14" s="5">
        <f t="shared" si="12"/>
        <v>2516.1607575973749</v>
      </c>
      <c r="BA14" s="5">
        <f t="shared" si="0"/>
        <v>2686.7706968471703</v>
      </c>
      <c r="BB14" s="6">
        <v>296.81</v>
      </c>
      <c r="BC14" s="6">
        <v>280.36</v>
      </c>
      <c r="BD14" s="6">
        <v>4215</v>
      </c>
    </row>
    <row r="15" spans="1:56" x14ac:dyDescent="0.2">
      <c r="A15" s="2">
        <v>14</v>
      </c>
      <c r="B15" s="4">
        <v>45305</v>
      </c>
      <c r="C15" s="5">
        <v>828.58191426595056</v>
      </c>
      <c r="D15" s="5">
        <v>565.36198170979833</v>
      </c>
      <c r="E15" s="5">
        <v>14.179497838020319</v>
      </c>
      <c r="F15" s="5">
        <v>564.20387013753259</v>
      </c>
      <c r="G15" s="5">
        <v>88.007794062296554</v>
      </c>
      <c r="H15" s="5">
        <v>2.2138859453998192</v>
      </c>
      <c r="I15" s="5">
        <v>230.17749786376959</v>
      </c>
      <c r="J15" s="5">
        <v>836.26555124918616</v>
      </c>
      <c r="K15" s="5">
        <v>121.9715916315716</v>
      </c>
      <c r="L15" s="5">
        <v>4.5913105805714922</v>
      </c>
      <c r="M15" s="5">
        <v>563.12097549438522</v>
      </c>
      <c r="N15" s="5">
        <v>14.093702554702761</v>
      </c>
      <c r="O15" s="5">
        <v>564.20387013753259</v>
      </c>
      <c r="P15" s="5">
        <v>1.960155035058657</v>
      </c>
      <c r="Q15" s="5">
        <v>10.367280205090839</v>
      </c>
      <c r="R15" s="5">
        <v>2.1876039604345969</v>
      </c>
      <c r="S15" s="5">
        <v>15.455827871958411</v>
      </c>
      <c r="T15" s="5">
        <v>-92.418150689866835</v>
      </c>
      <c r="U15" s="5">
        <v>35.821504910786949</v>
      </c>
      <c r="V15" s="5">
        <v>444.50149113921799</v>
      </c>
      <c r="W15" s="5">
        <v>226.73901541819961</v>
      </c>
      <c r="X15" s="5">
        <v>9.1431957259858265</v>
      </c>
      <c r="Y15" s="5">
        <v>96260.046268671635</v>
      </c>
      <c r="Z15" s="5">
        <v>6.6174646989150094</v>
      </c>
      <c r="AA15" s="5">
        <v>12.23424635051984</v>
      </c>
      <c r="AB15" s="5">
        <v>91.122541809925679</v>
      </c>
      <c r="AC15" s="5">
        <v>-0.23737899274081259</v>
      </c>
      <c r="AD15" s="5">
        <v>470.81050230705489</v>
      </c>
      <c r="AE15" s="5">
        <v>49.702023146083157</v>
      </c>
      <c r="AF15" s="5">
        <v>6.7988223852391094</v>
      </c>
      <c r="AG15" s="5">
        <v>93.67</v>
      </c>
      <c r="AH15" s="5">
        <f t="shared" si="1"/>
        <v>3499.931098762595</v>
      </c>
      <c r="AI15" s="5">
        <f t="shared" si="2"/>
        <v>6.6062613650897211</v>
      </c>
      <c r="AJ15" s="5">
        <v>2.19</v>
      </c>
      <c r="AK15" s="5">
        <v>317.83</v>
      </c>
      <c r="AL15" s="5">
        <f t="shared" si="3"/>
        <v>3060.3553276000912</v>
      </c>
      <c r="AM15" s="5">
        <f t="shared" si="4"/>
        <v>2955.4856208101246</v>
      </c>
      <c r="AN15" s="5">
        <f t="shared" si="5"/>
        <v>439.57577116250377</v>
      </c>
      <c r="AO15" s="5">
        <f t="shared" si="6"/>
        <v>544.44547795247036</v>
      </c>
      <c r="AP15" s="5">
        <f t="shared" si="7"/>
        <v>80.738253684398927</v>
      </c>
      <c r="AQ15" s="5">
        <v>4.5983333333333327</v>
      </c>
      <c r="AR15" s="5">
        <v>5.3599999999999994</v>
      </c>
      <c r="AS15" s="5">
        <v>31</v>
      </c>
      <c r="AT15" s="5">
        <v>356.35833333333335</v>
      </c>
      <c r="AU15" s="5">
        <f t="shared" si="8"/>
        <v>4.411196911196912</v>
      </c>
      <c r="AV15" s="5">
        <f t="shared" si="9"/>
        <v>125.98452767169016</v>
      </c>
      <c r="AW15" s="6">
        <f t="shared" si="10"/>
        <v>70.806179544085197</v>
      </c>
      <c r="AX15" s="5">
        <v>166.99199999999999</v>
      </c>
      <c r="AY15" s="5">
        <f t="shared" si="11"/>
        <v>712888848</v>
      </c>
      <c r="AZ15" s="5">
        <f t="shared" si="12"/>
        <v>2568.9688216216218</v>
      </c>
      <c r="BA15" s="5">
        <f t="shared" si="0"/>
        <v>2742.5737393206168</v>
      </c>
      <c r="BB15" s="6">
        <v>293.83</v>
      </c>
      <c r="BC15" s="6">
        <v>277.5</v>
      </c>
      <c r="BD15" s="6">
        <v>4269</v>
      </c>
    </row>
    <row r="16" spans="1:56" x14ac:dyDescent="0.2">
      <c r="A16" s="2">
        <v>15</v>
      </c>
      <c r="B16" s="4">
        <v>45306</v>
      </c>
      <c r="C16" s="5">
        <v>836.26153310139978</v>
      </c>
      <c r="D16" s="5">
        <v>566.96493657430062</v>
      </c>
      <c r="E16" s="5">
        <v>14.33698318799337</v>
      </c>
      <c r="F16" s="5">
        <v>564.28357442220056</v>
      </c>
      <c r="G16" s="5">
        <v>92.381479740142822</v>
      </c>
      <c r="H16" s="5">
        <v>5.50643510314588</v>
      </c>
      <c r="I16" s="5">
        <v>230.51468944549561</v>
      </c>
      <c r="J16" s="5">
        <v>843.07718658447266</v>
      </c>
      <c r="K16" s="5">
        <v>123.2754170629713</v>
      </c>
      <c r="L16" s="5">
        <v>4.3801932036876678</v>
      </c>
      <c r="M16" s="5">
        <v>564.37210718790732</v>
      </c>
      <c r="N16" s="5">
        <v>14.252735455830891</v>
      </c>
      <c r="O16" s="5">
        <v>564.28357442220056</v>
      </c>
      <c r="P16" s="5">
        <v>1.978162348270416</v>
      </c>
      <c r="Q16" s="5">
        <v>10.436810533205669</v>
      </c>
      <c r="R16" s="5">
        <v>2.2075951000054692</v>
      </c>
      <c r="S16" s="5">
        <v>15.60210132598877</v>
      </c>
      <c r="T16" s="5">
        <v>-92.347219573126893</v>
      </c>
      <c r="U16" s="5">
        <v>35.964598973592118</v>
      </c>
      <c r="V16" s="5">
        <v>456.59034611853531</v>
      </c>
      <c r="W16" s="5">
        <v>244.45513527739971</v>
      </c>
      <c r="X16" s="5">
        <v>11.901432652492289</v>
      </c>
      <c r="Y16" s="5">
        <v>97404.12525643385</v>
      </c>
      <c r="Z16" s="5">
        <v>6.4513382163215311</v>
      </c>
      <c r="AA16" s="5">
        <v>12.20832491155927</v>
      </c>
      <c r="AB16" s="5">
        <v>88.102639902553392</v>
      </c>
      <c r="AC16" s="5">
        <v>-0.23467347364702701</v>
      </c>
      <c r="AD16" s="5">
        <v>469.81296757153609</v>
      </c>
      <c r="AE16" s="5">
        <v>49.705193854536986</v>
      </c>
      <c r="AF16" s="5">
        <v>6.1754088982975119</v>
      </c>
      <c r="AG16" s="5">
        <v>93.69</v>
      </c>
      <c r="AH16" s="5">
        <f t="shared" si="1"/>
        <v>3502.6224430882753</v>
      </c>
      <c r="AI16" s="5">
        <f t="shared" si="2"/>
        <v>6.6047873123233103</v>
      </c>
      <c r="AJ16" s="5">
        <v>2.21</v>
      </c>
      <c r="AK16" s="5">
        <v>318.20999999999998</v>
      </c>
      <c r="AL16" s="5">
        <f t="shared" si="3"/>
        <v>3060.7180813750469</v>
      </c>
      <c r="AM16" s="5">
        <f t="shared" si="4"/>
        <v>2956.8161465323278</v>
      </c>
      <c r="AN16" s="5">
        <f t="shared" si="5"/>
        <v>441.90436171322835</v>
      </c>
      <c r="AO16" s="5">
        <f t="shared" si="6"/>
        <v>545.80629655594748</v>
      </c>
      <c r="AP16" s="5">
        <f t="shared" si="7"/>
        <v>80.963588090070942</v>
      </c>
      <c r="AQ16" s="5">
        <v>4.3866666666666667</v>
      </c>
      <c r="AR16" s="5">
        <v>5.085</v>
      </c>
      <c r="AS16" s="5">
        <v>32</v>
      </c>
      <c r="AT16" s="5">
        <v>340.315</v>
      </c>
      <c r="AU16" s="5">
        <f t="shared" si="8"/>
        <v>3.9740752450205501</v>
      </c>
      <c r="AV16" s="5">
        <f t="shared" si="9"/>
        <v>126.90277081726011</v>
      </c>
      <c r="AW16" s="6">
        <f t="shared" si="10"/>
        <v>69.21889275018728</v>
      </c>
      <c r="AX16" s="5">
        <v>170.81899999999999</v>
      </c>
      <c r="AY16" s="5">
        <f t="shared" si="11"/>
        <v>729226311</v>
      </c>
      <c r="AZ16" s="5">
        <f t="shared" si="12"/>
        <v>2602.6136228987471</v>
      </c>
      <c r="BA16" s="5">
        <f t="shared" si="0"/>
        <v>2777.8990531526811</v>
      </c>
      <c r="BB16" s="6">
        <v>296.52999999999997</v>
      </c>
      <c r="BC16" s="6">
        <v>280.19</v>
      </c>
      <c r="BD16" s="6">
        <v>4269</v>
      </c>
    </row>
    <row r="17" spans="1:56" x14ac:dyDescent="0.2">
      <c r="A17" s="2">
        <v>16</v>
      </c>
      <c r="B17" s="4">
        <v>45307</v>
      </c>
      <c r="C17" s="5">
        <v>829.10222371419275</v>
      </c>
      <c r="D17" s="5">
        <v>566.14419047037813</v>
      </c>
      <c r="E17" s="5">
        <v>14.436328776677451</v>
      </c>
      <c r="F17" s="5">
        <v>564.65673828125</v>
      </c>
      <c r="G17" s="5">
        <v>98.861621856689453</v>
      </c>
      <c r="H17" s="5">
        <v>3.0959413231115231</v>
      </c>
      <c r="I17" s="5">
        <v>230.11319446563721</v>
      </c>
      <c r="J17" s="5">
        <v>835.04555257161462</v>
      </c>
      <c r="K17" s="5">
        <v>121.42631589041819</v>
      </c>
      <c r="L17" s="5">
        <v>4.4002233743667603</v>
      </c>
      <c r="M17" s="5">
        <v>563.71878306070982</v>
      </c>
      <c r="N17" s="5">
        <v>14.356830716133119</v>
      </c>
      <c r="O17" s="5">
        <v>564.65673828125</v>
      </c>
      <c r="P17" s="5">
        <v>1.962352563937505</v>
      </c>
      <c r="Q17" s="5">
        <v>10.347050547599791</v>
      </c>
      <c r="R17" s="5">
        <v>2.1892749865849819</v>
      </c>
      <c r="S17" s="5">
        <v>15.66961518923442</v>
      </c>
      <c r="T17" s="5">
        <v>-92.195786741044799</v>
      </c>
      <c r="U17" s="5">
        <v>36.412397702534982</v>
      </c>
      <c r="V17" s="5">
        <v>445.64547782335262</v>
      </c>
      <c r="W17" s="5">
        <v>244.43111907284941</v>
      </c>
      <c r="X17" s="5">
        <v>15.597632461864229</v>
      </c>
      <c r="Y17" s="5">
        <v>96859.837190402322</v>
      </c>
      <c r="Z17" s="5">
        <v>6.552925864418035</v>
      </c>
      <c r="AA17" s="5">
        <v>12.015641016501929</v>
      </c>
      <c r="AB17" s="5">
        <v>84.995814560705796</v>
      </c>
      <c r="AC17" s="5">
        <v>-0.22300277703534799</v>
      </c>
      <c r="AD17" s="5">
        <v>462.39791323804388</v>
      </c>
      <c r="AE17" s="5">
        <v>49.704746397689611</v>
      </c>
      <c r="AF17" s="5">
        <v>5.1562297567856543</v>
      </c>
      <c r="AG17" s="5">
        <v>93.74</v>
      </c>
      <c r="AH17" s="5">
        <f t="shared" si="1"/>
        <v>3499.4754730252407</v>
      </c>
      <c r="AI17" s="5">
        <f t="shared" si="2"/>
        <v>6.5981152234355793</v>
      </c>
      <c r="AJ17" s="5">
        <v>2.19</v>
      </c>
      <c r="AK17" s="5">
        <v>317.56</v>
      </c>
      <c r="AL17" s="5">
        <f t="shared" si="3"/>
        <v>3059.7318641106403</v>
      </c>
      <c r="AM17" s="5">
        <f t="shared" si="4"/>
        <v>2951.0381636396264</v>
      </c>
      <c r="AN17" s="5">
        <f t="shared" si="5"/>
        <v>439.74360891460037</v>
      </c>
      <c r="AO17" s="5">
        <f t="shared" si="6"/>
        <v>548.4373093856143</v>
      </c>
      <c r="AP17" s="5">
        <f t="shared" si="7"/>
        <v>80.18119872392019</v>
      </c>
      <c r="AQ17" s="5">
        <v>4.3950000000000005</v>
      </c>
      <c r="AR17" s="5">
        <v>5.1150000000000002</v>
      </c>
      <c r="AS17" s="5">
        <v>33</v>
      </c>
      <c r="AT17" s="5">
        <v>352.78666666666669</v>
      </c>
      <c r="AU17" s="5">
        <f t="shared" si="8"/>
        <v>4.1051631295533726</v>
      </c>
      <c r="AV17" s="5">
        <f t="shared" si="9"/>
        <v>125.05636040717404</v>
      </c>
      <c r="AW17" s="6">
        <f t="shared" si="10"/>
        <v>71.213196170204924</v>
      </c>
      <c r="AX17" s="5">
        <v>168.50399999999999</v>
      </c>
      <c r="AY17" s="5">
        <f t="shared" si="11"/>
        <v>717658536</v>
      </c>
      <c r="AZ17" s="5">
        <f t="shared" si="12"/>
        <v>2594.2903372736146</v>
      </c>
      <c r="BA17" s="5">
        <f t="shared" si="0"/>
        <v>2767.5382305031094</v>
      </c>
      <c r="BB17" s="6">
        <v>293</v>
      </c>
      <c r="BC17" s="6">
        <v>276.63</v>
      </c>
      <c r="BD17" s="6">
        <v>4259</v>
      </c>
    </row>
    <row r="18" spans="1:56" x14ac:dyDescent="0.2">
      <c r="A18" s="2">
        <v>17</v>
      </c>
      <c r="B18" s="4">
        <v>45308</v>
      </c>
      <c r="C18" s="5">
        <v>837.31089528401696</v>
      </c>
      <c r="D18" s="5">
        <v>566.27307510376022</v>
      </c>
      <c r="E18" s="5">
        <v>14.63913263479869</v>
      </c>
      <c r="F18" s="5">
        <v>565.64838663736975</v>
      </c>
      <c r="G18" s="5">
        <v>96.93500169118245</v>
      </c>
      <c r="H18" s="5">
        <v>2.264589780907651</v>
      </c>
      <c r="I18" s="5">
        <v>230.6054706573486</v>
      </c>
      <c r="J18" s="5">
        <v>844.11056518554688</v>
      </c>
      <c r="K18" s="5">
        <v>122.72792286343051</v>
      </c>
      <c r="L18" s="5">
        <v>4.5876473188400269</v>
      </c>
      <c r="M18" s="5">
        <v>563.98638788859068</v>
      </c>
      <c r="N18" s="5">
        <v>14.559069116910299</v>
      </c>
      <c r="O18" s="5">
        <v>565.64838663736975</v>
      </c>
      <c r="P18" s="5">
        <v>1.9819927116235101</v>
      </c>
      <c r="Q18" s="5">
        <v>10.446796456972759</v>
      </c>
      <c r="R18" s="5">
        <v>2.2108455797036499</v>
      </c>
      <c r="S18" s="5">
        <v>15.887018640836081</v>
      </c>
      <c r="T18" s="5">
        <v>-92.412538104587142</v>
      </c>
      <c r="U18" s="5">
        <v>35.797661463419587</v>
      </c>
      <c r="V18" s="5">
        <v>445.26064645247448</v>
      </c>
      <c r="W18" s="5">
        <v>253.8568822834236</v>
      </c>
      <c r="X18" s="5">
        <v>19.85433430673713</v>
      </c>
      <c r="Y18" s="5">
        <v>96384.300845310689</v>
      </c>
      <c r="Z18" s="5">
        <v>6.6187130033380521</v>
      </c>
      <c r="AA18" s="5">
        <v>12.195303444888079</v>
      </c>
      <c r="AB18" s="5">
        <v>83.213823286947374</v>
      </c>
      <c r="AC18" s="5">
        <v>-0.22433615001556129</v>
      </c>
      <c r="AD18" s="5">
        <v>469.3118624696283</v>
      </c>
      <c r="AE18" s="5">
        <v>49.714560581063317</v>
      </c>
      <c r="AF18" s="5">
        <v>5.6892148444826924</v>
      </c>
      <c r="AG18" s="5">
        <v>93.64</v>
      </c>
      <c r="AH18" s="5">
        <f t="shared" si="1"/>
        <v>3497.8229957429735</v>
      </c>
      <c r="AI18" s="5">
        <f t="shared" si="2"/>
        <v>6.5902454424394783</v>
      </c>
      <c r="AJ18" s="5">
        <v>2.21</v>
      </c>
      <c r="AK18" s="5">
        <v>317.31</v>
      </c>
      <c r="AL18" s="5">
        <f t="shared" si="3"/>
        <v>3058.6369838092778</v>
      </c>
      <c r="AM18" s="5">
        <f t="shared" si="4"/>
        <v>2948.8751202792528</v>
      </c>
      <c r="AN18" s="5">
        <f t="shared" si="5"/>
        <v>439.18601193369568</v>
      </c>
      <c r="AO18" s="5">
        <f t="shared" si="6"/>
        <v>548.94787546372072</v>
      </c>
      <c r="AP18" s="5">
        <f t="shared" si="7"/>
        <v>80.005048122774085</v>
      </c>
      <c r="AQ18" s="5">
        <v>4.5566666666666675</v>
      </c>
      <c r="AR18" s="5">
        <v>5.0649999999999995</v>
      </c>
      <c r="AS18" s="5">
        <v>32</v>
      </c>
      <c r="AT18" s="5">
        <v>352.32666666666665</v>
      </c>
      <c r="AU18" s="5">
        <f t="shared" si="8"/>
        <v>2.8891695610988237</v>
      </c>
      <c r="AV18" s="5">
        <f t="shared" si="9"/>
        <v>125.34920639421796</v>
      </c>
      <c r="AW18" s="6">
        <f t="shared" si="10"/>
        <v>70.858122002262917</v>
      </c>
      <c r="AX18" s="5">
        <v>171.422</v>
      </c>
      <c r="AY18" s="5">
        <f t="shared" si="11"/>
        <v>730086298</v>
      </c>
      <c r="AZ18" s="5">
        <f t="shared" si="12"/>
        <v>2605.1250597680641</v>
      </c>
      <c r="BA18" s="5">
        <f t="shared" si="0"/>
        <v>2782.0643525929777</v>
      </c>
      <c r="BB18" s="6">
        <v>296.85000000000002</v>
      </c>
      <c r="BC18" s="6">
        <v>280.25</v>
      </c>
      <c r="BD18" s="6">
        <v>4259</v>
      </c>
    </row>
    <row r="19" spans="1:56" x14ac:dyDescent="0.2">
      <c r="A19" s="2">
        <v>18</v>
      </c>
      <c r="B19" s="4">
        <v>45309</v>
      </c>
      <c r="C19" s="5">
        <v>832.19499206542969</v>
      </c>
      <c r="D19" s="5">
        <v>565.81572723388706</v>
      </c>
      <c r="E19" s="5">
        <v>14.516951886812841</v>
      </c>
      <c r="F19" s="5">
        <v>564.95388031005859</v>
      </c>
      <c r="G19" s="5">
        <v>92.743048667907715</v>
      </c>
      <c r="H19" s="5">
        <v>7.1712822103168037</v>
      </c>
      <c r="I19" s="5">
        <v>230.11508528391511</v>
      </c>
      <c r="J19" s="5">
        <v>833.68113708496094</v>
      </c>
      <c r="K19" s="5">
        <v>122.777999189165</v>
      </c>
      <c r="L19" s="5">
        <v>4.4526270230611162</v>
      </c>
      <c r="M19" s="5">
        <v>563.41003036499103</v>
      </c>
      <c r="N19" s="5">
        <v>14.439523061116541</v>
      </c>
      <c r="O19" s="5">
        <v>564.95388031005859</v>
      </c>
      <c r="P19" s="5">
        <v>1.969967489441236</v>
      </c>
      <c r="Q19" s="5">
        <v>10.331055879592901</v>
      </c>
      <c r="R19" s="5">
        <v>2.1970349003871301</v>
      </c>
      <c r="S19" s="5">
        <v>15.75485201676687</v>
      </c>
      <c r="T19" s="5">
        <v>-92.375631491343185</v>
      </c>
      <c r="U19" s="5">
        <v>35.854019165039048</v>
      </c>
      <c r="V19" s="5">
        <v>454.96586484146138</v>
      </c>
      <c r="W19" s="5">
        <v>215.91089141943749</v>
      </c>
      <c r="X19" s="5">
        <v>24.3122596339369</v>
      </c>
      <c r="Y19" s="5">
        <v>97210.651959121591</v>
      </c>
      <c r="Z19" s="5">
        <v>6.5441203194547626</v>
      </c>
      <c r="AA19" s="5">
        <v>11.99239754031268</v>
      </c>
      <c r="AB19" s="5">
        <v>87.064320963802217</v>
      </c>
      <c r="AC19" s="5">
        <v>-0.22903268368851271</v>
      </c>
      <c r="AD19" s="5">
        <v>461.50343454385251</v>
      </c>
      <c r="AE19" s="5">
        <v>49.712316853066987</v>
      </c>
      <c r="AF19" s="5">
        <v>5.2860038629229473</v>
      </c>
      <c r="AG19" s="5">
        <v>93.63</v>
      </c>
      <c r="AH19" s="5">
        <f t="shared" si="1"/>
        <v>3497.8112365483184</v>
      </c>
      <c r="AI19" s="5">
        <f t="shared" si="2"/>
        <v>6.5937754696992394</v>
      </c>
      <c r="AJ19" s="5">
        <v>2.2000000000000002</v>
      </c>
      <c r="AK19" s="5">
        <v>317.45</v>
      </c>
      <c r="AL19" s="5">
        <f t="shared" si="3"/>
        <v>3059.2194168463348</v>
      </c>
      <c r="AM19" s="5">
        <f t="shared" si="4"/>
        <v>2949.7385273178174</v>
      </c>
      <c r="AN19" s="5">
        <f t="shared" si="5"/>
        <v>438.5918197019837</v>
      </c>
      <c r="AO19" s="5">
        <f t="shared" si="6"/>
        <v>548.072709230501</v>
      </c>
      <c r="AP19" s="5">
        <f t="shared" si="7"/>
        <v>80.024385873504002</v>
      </c>
      <c r="AQ19" s="5">
        <v>4.4933333333333332</v>
      </c>
      <c r="AR19" s="5">
        <v>5.2850000000000001</v>
      </c>
      <c r="AS19" s="5">
        <v>32</v>
      </c>
      <c r="AT19" s="5">
        <v>356.38000000000005</v>
      </c>
      <c r="AU19" s="5">
        <f t="shared" si="8"/>
        <v>4.5629202689721442</v>
      </c>
      <c r="AV19" s="5">
        <f t="shared" si="9"/>
        <v>126.92012691393478</v>
      </c>
      <c r="AW19" s="6">
        <f t="shared" si="10"/>
        <v>70.737984180919057</v>
      </c>
      <c r="AX19" s="5">
        <v>170.27699999999999</v>
      </c>
      <c r="AY19" s="5">
        <f t="shared" si="11"/>
        <v>719250048</v>
      </c>
      <c r="AZ19" s="5">
        <f t="shared" si="12"/>
        <v>2586.8581786793266</v>
      </c>
      <c r="BA19" s="5">
        <f t="shared" si="0"/>
        <v>2762.8518409476951</v>
      </c>
      <c r="BB19" s="6">
        <v>294.08</v>
      </c>
      <c r="BC19" s="6">
        <v>278.04000000000002</v>
      </c>
      <c r="BD19" s="6">
        <v>4224</v>
      </c>
    </row>
    <row r="20" spans="1:56" x14ac:dyDescent="0.2">
      <c r="A20" s="2">
        <v>19</v>
      </c>
      <c r="B20" s="4">
        <v>45310</v>
      </c>
      <c r="C20" s="5">
        <v>839.95602925618493</v>
      </c>
      <c r="D20" s="5">
        <v>566.02426401774085</v>
      </c>
      <c r="E20" s="5">
        <v>14.83689374128978</v>
      </c>
      <c r="F20" s="5">
        <v>564.12423960367835</v>
      </c>
      <c r="G20" s="5">
        <v>85.140800635019943</v>
      </c>
      <c r="H20" s="5">
        <v>4.1271103221224621</v>
      </c>
      <c r="I20" s="5">
        <v>230.5826546351114</v>
      </c>
      <c r="J20" s="5">
        <v>844.33784739176429</v>
      </c>
      <c r="K20" s="5">
        <v>120.4598227077061</v>
      </c>
      <c r="L20" s="5">
        <v>4.5735778013865156</v>
      </c>
      <c r="M20" s="5">
        <v>563.82797749837266</v>
      </c>
      <c r="N20" s="5">
        <v>14.76170841852824</v>
      </c>
      <c r="O20" s="5">
        <v>564.12423960367835</v>
      </c>
      <c r="P20" s="5">
        <v>1.9879137575626371</v>
      </c>
      <c r="Q20" s="5">
        <v>10.449200034141541</v>
      </c>
      <c r="R20" s="5">
        <v>2.2168810715278009</v>
      </c>
      <c r="S20" s="5">
        <v>16.085625926653549</v>
      </c>
      <c r="T20" s="5">
        <v>-92.640283266703307</v>
      </c>
      <c r="U20" s="5">
        <v>35.164315144221</v>
      </c>
      <c r="V20" s="5">
        <v>465.75633156451471</v>
      </c>
      <c r="W20" s="5">
        <v>222.06657780066629</v>
      </c>
      <c r="X20" s="5">
        <v>29.415497252377559</v>
      </c>
      <c r="Y20" s="5">
        <v>97465.325864989078</v>
      </c>
      <c r="Z20" s="5">
        <v>6.5808966302222656</v>
      </c>
      <c r="AA20" s="5">
        <v>12.283525946984961</v>
      </c>
      <c r="AB20" s="5">
        <v>89.795728779118349</v>
      </c>
      <c r="AC20" s="5">
        <v>-0.24114093613807899</v>
      </c>
      <c r="AD20" s="5">
        <v>472.70692901782252</v>
      </c>
      <c r="AE20" s="5">
        <v>49.711604405773237</v>
      </c>
      <c r="AF20" s="5">
        <v>3.6258313576642451</v>
      </c>
      <c r="AG20" s="5">
        <v>93.7</v>
      </c>
      <c r="AH20" s="5">
        <f t="shared" si="1"/>
        <v>3495.2116479996116</v>
      </c>
      <c r="AI20" s="5">
        <f t="shared" si="2"/>
        <v>6.5814656208018745</v>
      </c>
      <c r="AJ20" s="5">
        <v>2.2000000000000002</v>
      </c>
      <c r="AK20" s="5">
        <v>316.73</v>
      </c>
      <c r="AL20" s="5">
        <f t="shared" si="3"/>
        <v>3057.5545930773637</v>
      </c>
      <c r="AM20" s="5">
        <f t="shared" si="4"/>
        <v>2943.0500117881143</v>
      </c>
      <c r="AN20" s="5">
        <f t="shared" si="5"/>
        <v>437.65705492224788</v>
      </c>
      <c r="AO20" s="5">
        <f t="shared" si="6"/>
        <v>552.16163621149735</v>
      </c>
      <c r="AP20" s="5">
        <f t="shared" si="7"/>
        <v>79.26248877504591</v>
      </c>
      <c r="AQ20" s="5">
        <v>4.6466666666666665</v>
      </c>
      <c r="AR20" s="5">
        <v>5.29</v>
      </c>
      <c r="AS20" s="5">
        <v>28</v>
      </c>
      <c r="AT20" s="5">
        <v>353.61666666666662</v>
      </c>
      <c r="AU20" s="5">
        <f t="shared" si="8"/>
        <v>3.7091607943625893</v>
      </c>
      <c r="AV20" s="5">
        <f t="shared" si="9"/>
        <v>123.8893062021175</v>
      </c>
      <c r="AW20" s="6">
        <f t="shared" si="10"/>
        <v>70.551474780534107</v>
      </c>
      <c r="AX20" s="5">
        <v>171.5</v>
      </c>
      <c r="AY20" s="5">
        <f t="shared" si="11"/>
        <v>724416000</v>
      </c>
      <c r="AZ20" s="5">
        <f t="shared" si="12"/>
        <v>2572.5</v>
      </c>
      <c r="BA20" s="5">
        <f t="shared" si="0"/>
        <v>2745.4642475987193</v>
      </c>
      <c r="BB20" s="6">
        <v>297.93</v>
      </c>
      <c r="BC20" s="6">
        <v>281.60000000000002</v>
      </c>
      <c r="BD20" s="6">
        <v>4224</v>
      </c>
    </row>
    <row r="21" spans="1:56" x14ac:dyDescent="0.2">
      <c r="A21" s="2">
        <v>20</v>
      </c>
      <c r="B21" s="4">
        <v>45311</v>
      </c>
      <c r="C21" s="5">
        <v>843.65048980712891</v>
      </c>
      <c r="D21" s="5">
        <v>566.44044367472395</v>
      </c>
      <c r="E21" s="5">
        <v>14.39512305259704</v>
      </c>
      <c r="F21" s="5">
        <v>565.25191243489587</v>
      </c>
      <c r="G21" s="5">
        <v>87.38469537099202</v>
      </c>
      <c r="H21" s="5">
        <v>3.5327474086807338</v>
      </c>
      <c r="I21" s="5">
        <v>230.71064472198469</v>
      </c>
      <c r="J21" s="5">
        <v>851.62563832600915</v>
      </c>
      <c r="K21" s="5">
        <v>121.41606473922729</v>
      </c>
      <c r="L21" s="5">
        <v>4.5449172258377084</v>
      </c>
      <c r="M21" s="5">
        <v>563.98906834920274</v>
      </c>
      <c r="N21" s="5">
        <v>14.30778733889262</v>
      </c>
      <c r="O21" s="5">
        <v>565.25191243489587</v>
      </c>
      <c r="P21" s="5">
        <v>1.996490091085434</v>
      </c>
      <c r="Q21" s="5">
        <v>10.517299572626751</v>
      </c>
      <c r="R21" s="5">
        <v>2.2270826647679032</v>
      </c>
      <c r="S21" s="5">
        <v>15.686225334803259</v>
      </c>
      <c r="T21" s="5">
        <v>-92.493188540140792</v>
      </c>
      <c r="U21" s="5">
        <v>35.493740955988571</v>
      </c>
      <c r="V21" s="5">
        <v>467.49937952950091</v>
      </c>
      <c r="W21" s="5">
        <v>230.07571941298241</v>
      </c>
      <c r="X21" s="5">
        <v>34.936863641333041</v>
      </c>
      <c r="Y21" s="5">
        <v>97999.581585136199</v>
      </c>
      <c r="Z21" s="5">
        <v>6.5008771995783219</v>
      </c>
      <c r="AA21" s="5">
        <v>11.909304597407029</v>
      </c>
      <c r="AB21" s="5">
        <v>81.227764516159468</v>
      </c>
      <c r="AC21" s="5">
        <v>-0.21121264321461811</v>
      </c>
      <c r="AD21" s="5">
        <v>458.3057688220145</v>
      </c>
      <c r="AE21" s="5">
        <v>49.710336760308913</v>
      </c>
      <c r="AF21" s="5">
        <v>3.327773973486067</v>
      </c>
      <c r="AG21" s="5">
        <v>93.72</v>
      </c>
      <c r="AH21" s="5">
        <f t="shared" si="1"/>
        <v>3500.6648537032765</v>
      </c>
      <c r="AI21" s="5">
        <f t="shared" si="2"/>
        <v>6.600742211112955</v>
      </c>
      <c r="AJ21" s="5">
        <v>2.2200000000000002</v>
      </c>
      <c r="AK21" s="5">
        <v>318.20999999999998</v>
      </c>
      <c r="AL21" s="5">
        <f t="shared" si="3"/>
        <v>3060.4605967259718</v>
      </c>
      <c r="AM21" s="5">
        <f t="shared" si="4"/>
        <v>2955.6628006279407</v>
      </c>
      <c r="AN21" s="5">
        <f t="shared" si="5"/>
        <v>440.20425697730479</v>
      </c>
      <c r="AO21" s="5">
        <f t="shared" si="6"/>
        <v>545.00205307533588</v>
      </c>
      <c r="AP21" s="5">
        <f t="shared" si="7"/>
        <v>80.771119024840658</v>
      </c>
      <c r="AQ21" s="5">
        <v>4.5650000000000004</v>
      </c>
      <c r="AR21" s="5">
        <v>5.2050000000000001</v>
      </c>
      <c r="AS21" s="5">
        <v>33</v>
      </c>
      <c r="AT21" s="5">
        <v>356.10999999999996</v>
      </c>
      <c r="AU21" s="5">
        <f t="shared" si="8"/>
        <v>3.669958585536794</v>
      </c>
      <c r="AV21" s="5">
        <f t="shared" si="9"/>
        <v>124.66089769811833</v>
      </c>
      <c r="AW21" s="6">
        <f t="shared" si="10"/>
        <v>71.631674136325614</v>
      </c>
      <c r="AX21" s="5">
        <v>171.773</v>
      </c>
      <c r="AY21" s="5">
        <f t="shared" si="11"/>
        <v>730035250</v>
      </c>
      <c r="AZ21" s="5">
        <f t="shared" si="12"/>
        <v>2589.2365667671575</v>
      </c>
      <c r="BA21" s="5">
        <f t="shared" si="0"/>
        <v>2762.7364135373</v>
      </c>
      <c r="BB21" s="6">
        <v>298.44</v>
      </c>
      <c r="BC21" s="6">
        <v>281.95</v>
      </c>
      <c r="BD21" s="6">
        <v>4250</v>
      </c>
    </row>
    <row r="22" spans="1:56" x14ac:dyDescent="0.2">
      <c r="A22" s="2">
        <v>21</v>
      </c>
      <c r="B22" s="4">
        <v>45312</v>
      </c>
      <c r="C22" s="5">
        <v>842.66800689697266</v>
      </c>
      <c r="D22" s="5">
        <v>565.76204299926746</v>
      </c>
      <c r="E22" s="5">
        <v>14.35365507602693</v>
      </c>
      <c r="F22" s="5">
        <v>564.50639343261719</v>
      </c>
      <c r="G22" s="5">
        <v>89.559367974599198</v>
      </c>
      <c r="H22" s="5">
        <v>7.9947686019719786</v>
      </c>
      <c r="I22" s="5">
        <v>230.6298983891804</v>
      </c>
      <c r="J22" s="5">
        <v>845.26840972900391</v>
      </c>
      <c r="K22" s="5">
        <v>121.2811704741585</v>
      </c>
      <c r="L22" s="5">
        <v>4.7120626171429949</v>
      </c>
      <c r="M22" s="5">
        <v>563.59439595540414</v>
      </c>
      <c r="N22" s="5">
        <v>14.26858719189962</v>
      </c>
      <c r="O22" s="5">
        <v>564.50639343261719</v>
      </c>
      <c r="P22" s="5">
        <v>1.994658872485161</v>
      </c>
      <c r="Q22" s="5">
        <v>10.479329864184059</v>
      </c>
      <c r="R22" s="5">
        <v>2.224999616543454</v>
      </c>
      <c r="S22" s="5">
        <v>15.625546336174009</v>
      </c>
      <c r="T22" s="5">
        <v>-92.322863737742082</v>
      </c>
      <c r="U22" s="5">
        <v>35.872309366861991</v>
      </c>
      <c r="V22" s="5">
        <v>467.67538819549628</v>
      </c>
      <c r="W22" s="5">
        <v>232.02691710541561</v>
      </c>
      <c r="X22" s="5">
        <v>40.677657840876712</v>
      </c>
      <c r="Y22" s="5">
        <v>97468.372139786326</v>
      </c>
      <c r="Z22" s="5">
        <v>6.5618992477901186</v>
      </c>
      <c r="AA22" s="5">
        <v>11.84187306676758</v>
      </c>
      <c r="AB22" s="5">
        <v>79.022426278782277</v>
      </c>
      <c r="AC22" s="5">
        <v>-0.2007679469083985</v>
      </c>
      <c r="AD22" s="5">
        <v>455.71080122841659</v>
      </c>
      <c r="AE22" s="5">
        <v>49.708242973494997</v>
      </c>
      <c r="AF22" s="5">
        <v>3.2613222602890239</v>
      </c>
      <c r="AG22" s="5">
        <v>93.77</v>
      </c>
      <c r="AH22" s="5">
        <f t="shared" si="1"/>
        <v>3499.2761051994462</v>
      </c>
      <c r="AI22" s="5">
        <f t="shared" si="2"/>
        <v>6.6003090056837292</v>
      </c>
      <c r="AJ22" s="5">
        <v>2.23</v>
      </c>
      <c r="AK22" s="5">
        <v>318.70999999999998</v>
      </c>
      <c r="AL22" s="5">
        <f>h_pt(AJ22*10,AK22)</f>
        <v>3061.3599311558282</v>
      </c>
      <c r="AM22" s="5">
        <f>h_ps(AJ22*10,AI22)</f>
        <v>2956.4820371125447</v>
      </c>
      <c r="AN22" s="5">
        <f t="shared" si="5"/>
        <v>437.91617404361796</v>
      </c>
      <c r="AO22" s="5">
        <f t="shared" si="6"/>
        <v>542.79406808690146</v>
      </c>
      <c r="AP22" s="5">
        <f t="shared" si="7"/>
        <v>80.678142925745362</v>
      </c>
      <c r="AQ22" s="5">
        <v>4.7133333333333329</v>
      </c>
      <c r="AR22" s="5">
        <v>5.23</v>
      </c>
      <c r="AS22" s="5">
        <v>33</v>
      </c>
      <c r="AT22" s="5">
        <v>358.38333333333338</v>
      </c>
      <c r="AU22" s="5">
        <f t="shared" si="8"/>
        <v>2.96745373324825</v>
      </c>
      <c r="AV22" s="5">
        <f t="shared" si="9"/>
        <v>123.90087336314917</v>
      </c>
      <c r="AW22" s="6">
        <f t="shared" si="10"/>
        <v>72.063451304671673</v>
      </c>
      <c r="AX22" s="5">
        <v>171.49299999999999</v>
      </c>
      <c r="AY22" s="5">
        <f t="shared" si="11"/>
        <v>728845250</v>
      </c>
      <c r="AZ22" s="5">
        <f t="shared" si="12"/>
        <v>2588.0450607201192</v>
      </c>
      <c r="BA22" s="5">
        <f t="shared" si="0"/>
        <v>2759.9925996801953</v>
      </c>
      <c r="BB22" s="6">
        <v>297.95999999999998</v>
      </c>
      <c r="BC22" s="6">
        <v>281.62</v>
      </c>
      <c r="BD22" s="6">
        <v>4250</v>
      </c>
    </row>
    <row r="23" spans="1:56" x14ac:dyDescent="0.2">
      <c r="A23" s="2">
        <v>22</v>
      </c>
      <c r="B23" s="4">
        <v>45313</v>
      </c>
      <c r="C23" s="5">
        <v>838.15674082438147</v>
      </c>
      <c r="D23" s="5">
        <v>565.94107564290391</v>
      </c>
      <c r="E23" s="5">
        <v>14.2535942475001</v>
      </c>
      <c r="F23" s="5">
        <v>564.27283223470056</v>
      </c>
      <c r="G23" s="5">
        <v>86.509516716003418</v>
      </c>
      <c r="H23" s="5">
        <v>1.8186035562263541</v>
      </c>
      <c r="I23" s="5">
        <v>230.48538907368959</v>
      </c>
      <c r="J23" s="5">
        <v>845.57930755615234</v>
      </c>
      <c r="K23" s="5">
        <v>121.9075616730584</v>
      </c>
      <c r="L23" s="5">
        <v>4.5592971245447798</v>
      </c>
      <c r="M23" s="5">
        <v>563.61052576700877</v>
      </c>
      <c r="N23" s="5">
        <v>14.16392008463542</v>
      </c>
      <c r="O23" s="5">
        <v>564.27283223470056</v>
      </c>
      <c r="P23" s="5">
        <v>1.9830151597658789</v>
      </c>
      <c r="Q23" s="5">
        <v>10.51383721828461</v>
      </c>
      <c r="R23" s="5">
        <v>2.2117612063884771</v>
      </c>
      <c r="S23" s="5">
        <v>15.55878746509552</v>
      </c>
      <c r="T23" s="5">
        <v>-92.147588941785997</v>
      </c>
      <c r="U23" s="5">
        <v>36.371926546096788</v>
      </c>
      <c r="V23" s="5">
        <v>432.55619808374632</v>
      </c>
      <c r="W23" s="5">
        <v>238.72671327925971</v>
      </c>
      <c r="X23" s="5">
        <v>46.952597921031114</v>
      </c>
      <c r="Y23" s="5">
        <v>98816.049058884921</v>
      </c>
      <c r="Z23" s="5">
        <v>6.477834308068485</v>
      </c>
      <c r="AA23" s="5">
        <v>12.227503054628141</v>
      </c>
      <c r="AB23" s="5">
        <v>95.327166709267303</v>
      </c>
      <c r="AC23" s="5">
        <v>-0.24125387227468559</v>
      </c>
      <c r="AD23" s="5">
        <v>470.55100005125468</v>
      </c>
      <c r="AE23" s="5">
        <v>49.694632149531593</v>
      </c>
      <c r="AF23" s="5">
        <v>4.5588369264137922</v>
      </c>
      <c r="AG23" s="5">
        <v>93.79</v>
      </c>
      <c r="AH23" s="5">
        <f t="shared" si="1"/>
        <v>3500.7330381690354</v>
      </c>
      <c r="AI23" s="5">
        <f t="shared" si="2"/>
        <v>6.6050086709715208</v>
      </c>
      <c r="AJ23" s="5">
        <v>2.21</v>
      </c>
      <c r="AK23" s="5">
        <v>318.06</v>
      </c>
      <c r="AL23" s="5">
        <f>h_pt(AJ23*10,AK23)</f>
        <v>3060.3713666191679</v>
      </c>
      <c r="AM23" s="5">
        <f>h_ps(AJ23*10,AI23)</f>
        <v>2956.9373858510562</v>
      </c>
      <c r="AN23" s="5">
        <f t="shared" si="5"/>
        <v>440.36167154986742</v>
      </c>
      <c r="AO23" s="5">
        <f t="shared" si="6"/>
        <v>543.79565231797915</v>
      </c>
      <c r="AP23" s="5">
        <f t="shared" si="7"/>
        <v>80.979255658404981</v>
      </c>
      <c r="AQ23" s="5">
        <v>4.5083333333333337</v>
      </c>
      <c r="AR23" s="5">
        <v>5.125</v>
      </c>
      <c r="AS23" s="5">
        <v>33</v>
      </c>
      <c r="AT23" s="5">
        <v>350.47</v>
      </c>
      <c r="AU23" s="5">
        <f t="shared" si="8"/>
        <v>3.5182250396196495</v>
      </c>
      <c r="AV23" s="5">
        <f t="shared" si="9"/>
        <v>125.03552976995522</v>
      </c>
      <c r="AW23" s="6">
        <f t="shared" si="10"/>
        <v>71.009692326848139</v>
      </c>
      <c r="AX23" s="5">
        <v>172.01300000000001</v>
      </c>
      <c r="AY23" s="5">
        <f t="shared" si="11"/>
        <v>731055250</v>
      </c>
      <c r="AZ23" s="5">
        <f t="shared" si="12"/>
        <v>2606.6292875989448</v>
      </c>
      <c r="BA23" s="5">
        <f t="shared" si="0"/>
        <v>2779.2187734288777</v>
      </c>
      <c r="BB23" s="6">
        <v>296.60000000000002</v>
      </c>
      <c r="BC23" s="6">
        <v>280.45999999999998</v>
      </c>
      <c r="BD23" s="6">
        <v>4250</v>
      </c>
    </row>
    <row r="24" spans="1:56" x14ac:dyDescent="0.2">
      <c r="A24" s="2">
        <v>23</v>
      </c>
      <c r="B24" s="4">
        <v>45314</v>
      </c>
      <c r="C24" s="5">
        <v>840.23216247558594</v>
      </c>
      <c r="D24" s="5">
        <v>565.87033971150743</v>
      </c>
      <c r="E24" s="5">
        <v>14.27152968247732</v>
      </c>
      <c r="F24" s="5">
        <v>563.70453643798828</v>
      </c>
      <c r="G24" s="5">
        <v>88.256427764892578</v>
      </c>
      <c r="H24" s="5">
        <v>2.7818990791165561</v>
      </c>
      <c r="I24" s="5">
        <v>230.59877522786439</v>
      </c>
      <c r="J24" s="5">
        <v>845.26864115397132</v>
      </c>
      <c r="K24" s="5">
        <v>121.5326845380994</v>
      </c>
      <c r="L24" s="5">
        <v>4.225415974855423</v>
      </c>
      <c r="M24" s="5">
        <v>563.5281689961754</v>
      </c>
      <c r="N24" s="5">
        <v>14.180801590283711</v>
      </c>
      <c r="O24" s="5">
        <v>563.70453643798828</v>
      </c>
      <c r="P24" s="5">
        <v>1.9888904293378189</v>
      </c>
      <c r="Q24" s="5">
        <v>10.52562610308329</v>
      </c>
      <c r="R24" s="5">
        <v>2.218498677015305</v>
      </c>
      <c r="S24" s="5">
        <v>15.57551713784536</v>
      </c>
      <c r="T24" s="5">
        <v>-92.345414956410721</v>
      </c>
      <c r="U24" s="5">
        <v>35.834722916285202</v>
      </c>
      <c r="V24" s="5">
        <v>482.37096326161969</v>
      </c>
      <c r="W24" s="5">
        <v>235.62898570384789</v>
      </c>
      <c r="X24" s="5">
        <v>53.50436736133355</v>
      </c>
      <c r="Y24" s="5">
        <v>99874.144593538556</v>
      </c>
      <c r="Z24" s="5">
        <v>6.2240372428916553</v>
      </c>
      <c r="AA24" s="5">
        <v>11.944142305934861</v>
      </c>
      <c r="AB24" s="5">
        <v>89.884632175177089</v>
      </c>
      <c r="AC24" s="5">
        <v>-0.2228295851419291</v>
      </c>
      <c r="AD24" s="5">
        <v>459.64642835929129</v>
      </c>
      <c r="AE24" s="5">
        <v>49.689752665912273</v>
      </c>
      <c r="AF24" s="5">
        <v>7.2228973861715788</v>
      </c>
      <c r="AG24" s="5">
        <v>93.86</v>
      </c>
      <c r="AH24" s="5">
        <f t="shared" si="1"/>
        <v>3500.3698904036437</v>
      </c>
      <c r="AI24" s="5">
        <f t="shared" si="2"/>
        <v>6.6040430497482605</v>
      </c>
      <c r="AJ24" s="5">
        <v>2.2200000000000002</v>
      </c>
      <c r="AK24" s="5">
        <v>317.87</v>
      </c>
      <c r="AL24" s="5">
        <f>h_pt(AJ24*10,AK24)</f>
        <v>3059.6740620625906</v>
      </c>
      <c r="AM24" s="5">
        <f>h_ps(AJ24*10,AI24)</f>
        <v>2957.4707472422383</v>
      </c>
      <c r="AN24" s="5">
        <f t="shared" si="5"/>
        <v>440.69582834105313</v>
      </c>
      <c r="AO24" s="5">
        <f t="shared" si="6"/>
        <v>542.89914316140539</v>
      </c>
      <c r="AP24" s="5">
        <f t="shared" si="7"/>
        <v>81.174530093158211</v>
      </c>
      <c r="AQ24" s="5">
        <v>4.3083333333333336</v>
      </c>
      <c r="AR24" s="5">
        <v>4.8849999999999998</v>
      </c>
      <c r="AS24" s="5">
        <v>34</v>
      </c>
      <c r="AT24" s="5">
        <v>353.00666666666666</v>
      </c>
      <c r="AU24" s="5">
        <f t="shared" si="8"/>
        <v>3.2407118326568818</v>
      </c>
      <c r="AV24" s="5">
        <f t="shared" si="9"/>
        <v>124.36936660336781</v>
      </c>
      <c r="AW24" s="6">
        <f t="shared" si="10"/>
        <v>71.671636976227944</v>
      </c>
      <c r="AX24" s="5">
        <v>170.65600000000001</v>
      </c>
      <c r="AY24" s="5">
        <f t="shared" si="11"/>
        <v>722557504.00000012</v>
      </c>
      <c r="AZ24" s="5">
        <f t="shared" si="12"/>
        <v>2568.0889394370206</v>
      </c>
      <c r="BA24" s="5">
        <f t="shared" si="0"/>
        <v>2736.0845295514819</v>
      </c>
      <c r="BB24" s="6">
        <v>297.77999999999997</v>
      </c>
      <c r="BC24" s="6">
        <v>281.36</v>
      </c>
      <c r="BD24" s="6">
        <v>4234</v>
      </c>
    </row>
    <row r="25" spans="1:56" x14ac:dyDescent="0.2">
      <c r="A25" s="2">
        <v>24</v>
      </c>
      <c r="B25" s="4">
        <v>45315</v>
      </c>
      <c r="C25" s="5">
        <v>835.6976318359375</v>
      </c>
      <c r="D25" s="5">
        <v>565.66808573404967</v>
      </c>
      <c r="E25" s="5">
        <v>14.11887839635213</v>
      </c>
      <c r="F25" s="5">
        <v>563.87097930908203</v>
      </c>
      <c r="G25" s="5">
        <v>84.879283269246415</v>
      </c>
      <c r="H25" s="5">
        <v>6.4183348774470987</v>
      </c>
      <c r="I25" s="5">
        <v>230.2756408055622</v>
      </c>
      <c r="J25" s="5">
        <v>838.86539204915368</v>
      </c>
      <c r="K25" s="5">
        <v>123.9785342216493</v>
      </c>
      <c r="L25" s="5">
        <v>4.5002002418041229</v>
      </c>
      <c r="M25" s="5">
        <v>563.3948326110841</v>
      </c>
      <c r="N25" s="5">
        <v>14.03092539310455</v>
      </c>
      <c r="O25" s="5">
        <v>563.87097930908203</v>
      </c>
      <c r="P25" s="5">
        <v>1.9778571426868441</v>
      </c>
      <c r="Q25" s="5">
        <v>10.45560924212138</v>
      </c>
      <c r="R25" s="5">
        <v>2.2063056031862911</v>
      </c>
      <c r="S25" s="5">
        <v>15.43321704864502</v>
      </c>
      <c r="T25" s="5">
        <v>-92.174991024865037</v>
      </c>
      <c r="U25" s="5">
        <v>36.358194669087737</v>
      </c>
      <c r="V25" s="5">
        <v>456.94467293970598</v>
      </c>
      <c r="W25" s="5">
        <v>236.35553650592499</v>
      </c>
      <c r="X25" s="5">
        <v>60.508030518158598</v>
      </c>
      <c r="Y25" s="5">
        <v>98925.282782651033</v>
      </c>
      <c r="Z25" s="5">
        <v>6.3776706111201209</v>
      </c>
      <c r="AA25" s="5">
        <v>12.105336927066279</v>
      </c>
      <c r="AB25" s="5">
        <v>96.300621382895557</v>
      </c>
      <c r="AC25" s="5">
        <v>-0.24468884625176621</v>
      </c>
      <c r="AD25" s="5">
        <v>465.84968096429208</v>
      </c>
      <c r="AE25" s="5">
        <v>49.690981000512672</v>
      </c>
      <c r="AF25" s="5">
        <v>11.249068529618921</v>
      </c>
      <c r="AG25" s="5">
        <v>93.74</v>
      </c>
      <c r="AH25" s="5">
        <f t="shared" si="1"/>
        <v>3501.3348449946134</v>
      </c>
      <c r="AI25" s="5">
        <f t="shared" si="2"/>
        <v>6.6097514506603208</v>
      </c>
      <c r="AJ25" s="5">
        <v>2.2000000000000002</v>
      </c>
      <c r="AK25" s="5">
        <v>318.47000000000003</v>
      </c>
      <c r="AL25" s="5">
        <f t="shared" si="3"/>
        <v>3061.5757949027811</v>
      </c>
      <c r="AM25" s="5">
        <f t="shared" si="4"/>
        <v>2958.4684751006043</v>
      </c>
      <c r="AN25" s="5">
        <f t="shared" si="5"/>
        <v>439.75905009183225</v>
      </c>
      <c r="AO25" s="5">
        <f t="shared" si="6"/>
        <v>542.86636989400904</v>
      </c>
      <c r="AP25" s="5">
        <f t="shared" si="7"/>
        <v>81.006869181764245</v>
      </c>
      <c r="AQ25" s="5">
        <v>4.4466666666666663</v>
      </c>
      <c r="AR25" s="5">
        <v>4.9700000000000006</v>
      </c>
      <c r="AS25" s="5">
        <v>32</v>
      </c>
      <c r="AT25" s="5">
        <v>355.46333333333331</v>
      </c>
      <c r="AU25" s="5">
        <f t="shared" si="8"/>
        <v>2.956685499058386</v>
      </c>
      <c r="AV25" s="5">
        <f t="shared" si="9"/>
        <v>126.69805020522726</v>
      </c>
      <c r="AW25" s="6">
        <f t="shared" si="10"/>
        <v>70.723714113327446</v>
      </c>
      <c r="AX25" s="5">
        <v>167.119</v>
      </c>
      <c r="AY25" s="5">
        <f t="shared" si="11"/>
        <v>707581846</v>
      </c>
      <c r="AZ25" s="5">
        <f t="shared" si="12"/>
        <v>2540.3239965534572</v>
      </c>
      <c r="BA25" s="5">
        <f t="shared" si="0"/>
        <v>2709.9679929095983</v>
      </c>
      <c r="BB25" s="6">
        <v>294.92</v>
      </c>
      <c r="BC25" s="6">
        <v>278.54000000000002</v>
      </c>
      <c r="BD25" s="6">
        <v>4234</v>
      </c>
    </row>
    <row r="26" spans="1:56" x14ac:dyDescent="0.2">
      <c r="A26" s="2">
        <v>25</v>
      </c>
      <c r="B26" s="4">
        <v>45316</v>
      </c>
      <c r="C26" s="5">
        <v>838.95901489257812</v>
      </c>
      <c r="D26" s="5">
        <v>566.8271191914879</v>
      </c>
      <c r="E26" s="5">
        <v>14.352135062217711</v>
      </c>
      <c r="F26" s="5">
        <v>564.70956675211585</v>
      </c>
      <c r="G26" s="5">
        <v>93.694500923156738</v>
      </c>
      <c r="H26" s="5">
        <v>4.71813975617503</v>
      </c>
      <c r="I26" s="5">
        <v>230.4901307423909</v>
      </c>
      <c r="J26" s="5">
        <v>840.86249542236328</v>
      </c>
      <c r="K26" s="5">
        <v>121.8024056222705</v>
      </c>
      <c r="L26" s="5">
        <v>4.5466060141722364</v>
      </c>
      <c r="M26" s="5">
        <v>564.4750328063966</v>
      </c>
      <c r="N26" s="5">
        <v>14.27070474624634</v>
      </c>
      <c r="O26" s="5">
        <v>564.70956675211585</v>
      </c>
      <c r="P26" s="5">
        <v>1.985838323831558</v>
      </c>
      <c r="Q26" s="5">
        <v>10.48121817906698</v>
      </c>
      <c r="R26" s="5">
        <v>2.2146149128675492</v>
      </c>
      <c r="S26" s="5">
        <v>15.63711003462473</v>
      </c>
      <c r="T26" s="5">
        <v>-92.117802196078856</v>
      </c>
      <c r="U26" s="5">
        <v>36.457892497380591</v>
      </c>
      <c r="V26" s="5">
        <v>432.76217144968632</v>
      </c>
      <c r="W26" s="5">
        <v>229.6731081319835</v>
      </c>
      <c r="X26" s="5">
        <v>67.845381012671993</v>
      </c>
      <c r="Y26" s="5">
        <v>98987.857907051701</v>
      </c>
      <c r="Z26" s="5">
        <v>6.3756260373645297</v>
      </c>
      <c r="AA26" s="5">
        <v>12.01800884332008</v>
      </c>
      <c r="AB26" s="5">
        <v>97.219624876977491</v>
      </c>
      <c r="AC26" s="5">
        <v>-0.24715004289216061</v>
      </c>
      <c r="AD26" s="5">
        <v>462.48903431748698</v>
      </c>
      <c r="AE26" s="5">
        <v>49.690439195742691</v>
      </c>
      <c r="AF26" s="5">
        <v>11.28241334302589</v>
      </c>
      <c r="AG26" s="5">
        <v>93.79</v>
      </c>
      <c r="AH26" s="5">
        <f t="shared" si="1"/>
        <v>3502.1096013640408</v>
      </c>
      <c r="AI26" s="5">
        <f t="shared" si="2"/>
        <v>6.6037293012280784</v>
      </c>
      <c r="AJ26" s="5">
        <v>2.2200000000000002</v>
      </c>
      <c r="AK26" s="5">
        <v>318.61</v>
      </c>
      <c r="AL26" s="5">
        <f t="shared" si="3"/>
        <v>3061.3855764372834</v>
      </c>
      <c r="AM26" s="5">
        <f t="shared" si="4"/>
        <v>2957.2987962597545</v>
      </c>
      <c r="AN26" s="5">
        <f t="shared" si="5"/>
        <v>440.72402492675747</v>
      </c>
      <c r="AO26" s="5">
        <f t="shared" si="6"/>
        <v>544.81080510428637</v>
      </c>
      <c r="AP26" s="5">
        <f t="shared" si="7"/>
        <v>80.894875945493609</v>
      </c>
      <c r="AQ26" s="5">
        <v>4.5716666666666663</v>
      </c>
      <c r="AR26" s="5">
        <v>4.99</v>
      </c>
      <c r="AS26" s="5">
        <v>31</v>
      </c>
      <c r="AT26" s="5">
        <v>353.99166666666673</v>
      </c>
      <c r="AU26" s="5">
        <f t="shared" si="8"/>
        <v>2.3664362036455096</v>
      </c>
      <c r="AV26" s="5">
        <f t="shared" si="9"/>
        <v>123.95118662269695</v>
      </c>
      <c r="AW26" s="6">
        <f t="shared" si="10"/>
        <v>71.221800369659604</v>
      </c>
      <c r="AX26" s="5">
        <v>173.565</v>
      </c>
      <c r="AY26" s="5">
        <f t="shared" si="11"/>
        <v>742858200</v>
      </c>
      <c r="AZ26" s="5">
        <f t="shared" si="12"/>
        <v>2650.5091518892496</v>
      </c>
      <c r="BA26" s="5">
        <f t="shared" si="0"/>
        <v>2826.0040003084009</v>
      </c>
      <c r="BB26" s="6">
        <v>296.58</v>
      </c>
      <c r="BC26" s="6">
        <v>280.27</v>
      </c>
      <c r="BD26" s="6">
        <v>4280</v>
      </c>
    </row>
    <row r="27" spans="1:56" x14ac:dyDescent="0.2">
      <c r="A27" s="2">
        <v>26</v>
      </c>
      <c r="B27" s="4">
        <v>45317</v>
      </c>
      <c r="C27" s="5">
        <v>840.03740946451819</v>
      </c>
      <c r="D27" s="5">
        <v>566.07888793945369</v>
      </c>
      <c r="E27" s="5">
        <v>14.39598731994629</v>
      </c>
      <c r="F27" s="5">
        <v>565.10335540771484</v>
      </c>
      <c r="G27" s="5">
        <v>85.800521532694503</v>
      </c>
      <c r="H27" s="5">
        <v>5.0651552137205726</v>
      </c>
      <c r="I27" s="5">
        <v>230.42014058430971</v>
      </c>
      <c r="J27" s="5">
        <v>840.13725789388025</v>
      </c>
      <c r="K27" s="5">
        <v>122.6438632011415</v>
      </c>
      <c r="L27" s="5">
        <v>4.5126553575197859</v>
      </c>
      <c r="M27" s="5">
        <v>563.70357767740893</v>
      </c>
      <c r="N27" s="5">
        <v>14.31265167395274</v>
      </c>
      <c r="O27" s="5">
        <v>565.10335540771484</v>
      </c>
      <c r="P27" s="5">
        <v>1.987578024466832</v>
      </c>
      <c r="Q27" s="5">
        <v>10.47449413935343</v>
      </c>
      <c r="R27" s="5">
        <v>2.217285484075548</v>
      </c>
      <c r="S27" s="5">
        <v>15.682211796442671</v>
      </c>
      <c r="T27" s="5">
        <v>-92.141462537977432</v>
      </c>
      <c r="U27" s="5">
        <v>36.382773637771614</v>
      </c>
      <c r="V27" s="5">
        <v>457.21726030454982</v>
      </c>
      <c r="W27" s="5">
        <v>209.39329766139471</v>
      </c>
      <c r="X27" s="5">
        <v>75.317761754211929</v>
      </c>
      <c r="Y27" s="5">
        <v>98863.607970577883</v>
      </c>
      <c r="Z27" s="5">
        <v>6.4038978080125402</v>
      </c>
      <c r="AA27" s="5">
        <v>11.97583262793532</v>
      </c>
      <c r="AB27" s="5">
        <v>97.535004903015121</v>
      </c>
      <c r="AC27" s="5">
        <v>-0.24962960945408211</v>
      </c>
      <c r="AD27" s="5">
        <v>460.86596702083489</v>
      </c>
      <c r="AE27" s="5">
        <v>49.689438474158457</v>
      </c>
      <c r="AF27" s="5">
        <v>12.54277400551663</v>
      </c>
      <c r="AG27" s="5">
        <v>93.73</v>
      </c>
      <c r="AH27" s="5">
        <f t="shared" si="1"/>
        <v>3499.6989249284707</v>
      </c>
      <c r="AI27" s="5">
        <f t="shared" si="2"/>
        <v>6.5995660671118657</v>
      </c>
      <c r="AJ27" s="5">
        <v>2.2200000000000002</v>
      </c>
      <c r="AK27" s="5">
        <v>317.85000000000002</v>
      </c>
      <c r="AL27" s="5">
        <f t="shared" si="3"/>
        <v>3059.627786636343</v>
      </c>
      <c r="AM27" s="5">
        <f t="shared" si="4"/>
        <v>2955.0191801701926</v>
      </c>
      <c r="AN27" s="5">
        <f t="shared" si="5"/>
        <v>440.07113829212767</v>
      </c>
      <c r="AO27" s="5">
        <f t="shared" si="6"/>
        <v>544.67974475827805</v>
      </c>
      <c r="AP27" s="5">
        <f t="shared" si="7"/>
        <v>80.79447464811193</v>
      </c>
      <c r="AQ27" s="5">
        <v>4.458333333333333</v>
      </c>
      <c r="AR27" s="5">
        <v>5.07</v>
      </c>
      <c r="AS27" s="5">
        <v>31</v>
      </c>
      <c r="AT27" s="5">
        <v>354.58</v>
      </c>
      <c r="AU27" s="5">
        <f t="shared" si="8"/>
        <v>3.4775742261528779</v>
      </c>
      <c r="AV27" s="5">
        <f t="shared" si="9"/>
        <v>125.8308465676752</v>
      </c>
      <c r="AW27" s="6">
        <f t="shared" si="10"/>
        <v>70.693229937673777</v>
      </c>
      <c r="AX27" s="5">
        <v>169.595</v>
      </c>
      <c r="AY27" s="5">
        <f t="shared" si="11"/>
        <v>725866600</v>
      </c>
      <c r="AZ27" s="5">
        <f t="shared" si="12"/>
        <v>2590.5303354746611</v>
      </c>
      <c r="BA27" s="5">
        <f t="shared" si="0"/>
        <v>2763.8219731939198</v>
      </c>
      <c r="BB27" s="6">
        <v>296.48</v>
      </c>
      <c r="BC27" s="6">
        <v>280.2</v>
      </c>
      <c r="BD27" s="6">
        <v>4280</v>
      </c>
    </row>
    <row r="28" spans="1:56" x14ac:dyDescent="0.2">
      <c r="A28" s="2">
        <v>27</v>
      </c>
      <c r="B28" s="4">
        <v>45318</v>
      </c>
      <c r="C28" s="5">
        <v>830.96254475911462</v>
      </c>
      <c r="D28" s="5">
        <v>566.17910003662098</v>
      </c>
      <c r="E28" s="5">
        <v>14.124088048934929</v>
      </c>
      <c r="F28" s="5">
        <v>565.34859212239587</v>
      </c>
      <c r="G28" s="5">
        <v>79.765587011973068</v>
      </c>
      <c r="H28" s="5">
        <v>2.2279423187525631</v>
      </c>
      <c r="I28" s="5">
        <v>229.96565786997459</v>
      </c>
      <c r="J28" s="5">
        <v>832.01780446370446</v>
      </c>
      <c r="K28" s="5">
        <v>121.026755279965</v>
      </c>
      <c r="L28" s="5">
        <v>4.6450803081194563</v>
      </c>
      <c r="M28" s="5">
        <v>563.88525390625045</v>
      </c>
      <c r="N28" s="5">
        <v>14.03825004895528</v>
      </c>
      <c r="O28" s="5">
        <v>565.34859212239587</v>
      </c>
      <c r="P28" s="5">
        <v>1.9659997870524719</v>
      </c>
      <c r="Q28" s="5">
        <v>10.388911763827011</v>
      </c>
      <c r="R28" s="5">
        <v>2.193792060017588</v>
      </c>
      <c r="S28" s="5">
        <v>15.43337635199229</v>
      </c>
      <c r="T28" s="5">
        <v>-92.237709893120709</v>
      </c>
      <c r="U28" s="5">
        <v>36.231733878453589</v>
      </c>
      <c r="V28" s="5">
        <v>454.12216266126188</v>
      </c>
      <c r="W28" s="5">
        <v>220.31194775611741</v>
      </c>
      <c r="X28" s="5">
        <v>81.392344563099087</v>
      </c>
      <c r="Y28" s="5">
        <v>98082.196660879606</v>
      </c>
      <c r="Z28" s="5">
        <v>6.5455649696532481</v>
      </c>
      <c r="AA28" s="5">
        <v>12.06408436395964</v>
      </c>
      <c r="AB28" s="5">
        <v>95.560381075382637</v>
      </c>
      <c r="AC28" s="5">
        <v>-0.25138583763829281</v>
      </c>
      <c r="AD28" s="5">
        <v>464.26215857825798</v>
      </c>
      <c r="AE28" s="5">
        <v>49.701107801251261</v>
      </c>
      <c r="AF28" s="5">
        <v>8.6447595650782016</v>
      </c>
      <c r="AG28" s="5">
        <v>93.71</v>
      </c>
      <c r="AH28" s="5">
        <f t="shared" si="1"/>
        <v>3502.6317884976688</v>
      </c>
      <c r="AI28" s="5">
        <f t="shared" si="2"/>
        <v>6.6111406784133395</v>
      </c>
      <c r="AJ28" s="5">
        <v>2.19</v>
      </c>
      <c r="AK28" s="5">
        <v>318.63</v>
      </c>
      <c r="AL28" s="5">
        <f t="shared" si="3"/>
        <v>3062.2016204751412</v>
      </c>
      <c r="AM28" s="5">
        <f t="shared" si="4"/>
        <v>2958.1565379830149</v>
      </c>
      <c r="AN28" s="5">
        <f t="shared" si="5"/>
        <v>440.4301680225276</v>
      </c>
      <c r="AO28" s="5">
        <f t="shared" si="6"/>
        <v>544.47525051465391</v>
      </c>
      <c r="AP28" s="5">
        <f t="shared" si="7"/>
        <v>80.890759975998932</v>
      </c>
      <c r="AQ28" s="5">
        <v>4.5550000000000006</v>
      </c>
      <c r="AR28" s="5">
        <v>5.16</v>
      </c>
      <c r="AS28" s="5">
        <v>31</v>
      </c>
      <c r="AT28" s="5">
        <v>353.435</v>
      </c>
      <c r="AU28" s="5">
        <f t="shared" si="8"/>
        <v>3.4593392630241402</v>
      </c>
      <c r="AV28" s="5">
        <f t="shared" si="9"/>
        <v>124.14108617259149</v>
      </c>
      <c r="AW28" s="6">
        <f t="shared" si="10"/>
        <v>71.113220905735574</v>
      </c>
      <c r="AX28" s="5">
        <v>168.91900000000001</v>
      </c>
      <c r="AY28" s="5">
        <f t="shared" si="11"/>
        <v>714358451</v>
      </c>
      <c r="AZ28" s="5">
        <f t="shared" si="12"/>
        <v>2574.2646882882882</v>
      </c>
      <c r="BA28" s="5">
        <f t="shared" si="0"/>
        <v>2747.0544107227493</v>
      </c>
      <c r="BB28" s="6">
        <v>294.08</v>
      </c>
      <c r="BC28" s="6">
        <v>277.5</v>
      </c>
      <c r="BD28" s="6">
        <v>4229</v>
      </c>
    </row>
    <row r="29" spans="1:56" x14ac:dyDescent="0.2">
      <c r="A29" s="2">
        <v>28</v>
      </c>
      <c r="B29" s="4">
        <v>45319</v>
      </c>
      <c r="C29" s="5">
        <v>842.42384847005212</v>
      </c>
      <c r="D29" s="5">
        <v>566.05647532145224</v>
      </c>
      <c r="E29" s="5">
        <v>14.374606537818909</v>
      </c>
      <c r="F29" s="5">
        <v>564.52966817220056</v>
      </c>
      <c r="G29" s="5">
        <v>83.47627178827922</v>
      </c>
      <c r="H29" s="5">
        <v>2.2934127651922909</v>
      </c>
      <c r="I29" s="5">
        <v>230.5135924021402</v>
      </c>
      <c r="J29" s="5">
        <v>840.276621500651</v>
      </c>
      <c r="K29" s="5">
        <v>122.33507182863021</v>
      </c>
      <c r="L29" s="5">
        <v>4.4273813764254264</v>
      </c>
      <c r="M29" s="5">
        <v>563.74294408162461</v>
      </c>
      <c r="N29" s="5">
        <v>14.28970364729563</v>
      </c>
      <c r="O29" s="5">
        <v>564.52966817220056</v>
      </c>
      <c r="P29" s="5">
        <v>1.9934837967157359</v>
      </c>
      <c r="Q29" s="5">
        <v>10.50505308310191</v>
      </c>
      <c r="R29" s="5">
        <v>2.2237940629323338</v>
      </c>
      <c r="S29" s="5">
        <v>15.672634998957321</v>
      </c>
      <c r="T29" s="5">
        <v>-92.248488797081833</v>
      </c>
      <c r="U29" s="5">
        <v>36.134964466094956</v>
      </c>
      <c r="V29" s="5">
        <v>481.68857697936329</v>
      </c>
      <c r="W29" s="5">
        <v>217.55399750299571</v>
      </c>
      <c r="X29" s="5">
        <v>90.045775691414804</v>
      </c>
      <c r="Y29" s="5">
        <v>98879.932869194672</v>
      </c>
      <c r="Z29" s="5">
        <v>6.3825017911780142</v>
      </c>
      <c r="AA29" s="5">
        <v>11.9971790375991</v>
      </c>
      <c r="AB29" s="5">
        <v>88.63792010505837</v>
      </c>
      <c r="AC29" s="5">
        <v>-0.23345072212338941</v>
      </c>
      <c r="AD29" s="5">
        <v>461.68744090392619</v>
      </c>
      <c r="AE29" s="5">
        <v>49.70474986845452</v>
      </c>
      <c r="AF29" s="5">
        <v>9.466731410999115</v>
      </c>
      <c r="AG29" s="5">
        <v>93.76</v>
      </c>
      <c r="AH29" s="5">
        <f t="shared" si="1"/>
        <v>3499.8496692382137</v>
      </c>
      <c r="AI29" s="5">
        <f t="shared" si="2"/>
        <v>6.6003749827245546</v>
      </c>
      <c r="AJ29" s="5">
        <v>2.2200000000000002</v>
      </c>
      <c r="AK29" s="5">
        <v>318.45999999999998</v>
      </c>
      <c r="AL29" s="5">
        <f>h_pt(AJ29*10,AK29)</f>
        <v>3061.0387538758787</v>
      </c>
      <c r="AM29" s="5">
        <f>h_ps(AJ29*10,AI29)</f>
        <v>2955.4618097461489</v>
      </c>
      <c r="AN29" s="5">
        <f t="shared" si="5"/>
        <v>438.81091536233498</v>
      </c>
      <c r="AO29" s="5">
        <f t="shared" si="6"/>
        <v>544.38785949206476</v>
      </c>
      <c r="AP29" s="5">
        <f t="shared" si="7"/>
        <v>80.606300767207188</v>
      </c>
      <c r="AQ29" s="5">
        <v>4.43</v>
      </c>
      <c r="AR29" s="5">
        <v>4.9950000000000001</v>
      </c>
      <c r="AS29" s="5">
        <v>33</v>
      </c>
      <c r="AT29" s="5">
        <v>353.18499999999995</v>
      </c>
      <c r="AU29" s="5">
        <f t="shared" si="8"/>
        <v>3.1971078277271325</v>
      </c>
      <c r="AV29" s="5">
        <f t="shared" si="9"/>
        <v>125.19121040296899</v>
      </c>
      <c r="AW29" s="6">
        <f t="shared" si="10"/>
        <v>71.206892764192887</v>
      </c>
      <c r="AX29" s="5">
        <v>170.97800000000001</v>
      </c>
      <c r="AY29" s="5">
        <f t="shared" si="11"/>
        <v>723065962</v>
      </c>
      <c r="AZ29" s="5">
        <f t="shared" si="12"/>
        <v>2569.8047481963249</v>
      </c>
      <c r="BA29" s="5">
        <f t="shared" si="0"/>
        <v>2740.8327092537593</v>
      </c>
      <c r="BB29" s="6">
        <v>297.94</v>
      </c>
      <c r="BC29" s="6">
        <v>281.37</v>
      </c>
      <c r="BD29" s="6">
        <v>4229</v>
      </c>
    </row>
    <row r="30" spans="1:56" x14ac:dyDescent="0.2">
      <c r="A30" s="2">
        <v>29</v>
      </c>
      <c r="B30" s="4">
        <v>45320</v>
      </c>
      <c r="C30" s="5">
        <v>835.80519866943359</v>
      </c>
      <c r="D30" s="5">
        <v>566.48614629109727</v>
      </c>
      <c r="E30" s="5">
        <v>14.52262054284413</v>
      </c>
      <c r="F30" s="5">
        <v>565.12661234537757</v>
      </c>
      <c r="G30" s="5">
        <v>85.925494511922196</v>
      </c>
      <c r="H30" s="5">
        <v>4.2761491305554964</v>
      </c>
      <c r="I30" s="5">
        <v>230.144211769104</v>
      </c>
      <c r="J30" s="5">
        <v>831.6820170084635</v>
      </c>
      <c r="K30" s="5">
        <v>121.9710291756526</v>
      </c>
      <c r="L30" s="5">
        <v>4.6193255186080933</v>
      </c>
      <c r="M30" s="5">
        <v>564.1743431091304</v>
      </c>
      <c r="N30" s="5">
        <v>14.44398665428162</v>
      </c>
      <c r="O30" s="5">
        <v>565.12661234537757</v>
      </c>
      <c r="P30" s="5">
        <v>1.9776892711718881</v>
      </c>
      <c r="Q30" s="5">
        <v>10.43228964010874</v>
      </c>
      <c r="R30" s="5">
        <v>2.2059546460708002</v>
      </c>
      <c r="S30" s="5">
        <v>15.795861283938089</v>
      </c>
      <c r="T30" s="5">
        <v>-92.238272772894973</v>
      </c>
      <c r="U30" s="5">
        <v>36.223079760869361</v>
      </c>
      <c r="V30" s="5">
        <v>456.3431352922471</v>
      </c>
      <c r="W30" s="5">
        <v>209.39487433722761</v>
      </c>
      <c r="X30" s="5">
        <v>104.4562233203097</v>
      </c>
      <c r="Y30" s="5">
        <v>97680.829532011776</v>
      </c>
      <c r="Z30" s="5">
        <v>6.572479339936681</v>
      </c>
      <c r="AA30" s="5">
        <v>12.06221448187986</v>
      </c>
      <c r="AB30" s="5">
        <v>89.132961307475554</v>
      </c>
      <c r="AC30" s="5">
        <v>-0.23366875962285499</v>
      </c>
      <c r="AD30" s="5">
        <v>464.1901999061825</v>
      </c>
      <c r="AE30" s="5">
        <v>49.706842045370287</v>
      </c>
      <c r="AF30" s="5">
        <v>8.6141279565639959</v>
      </c>
      <c r="AG30" s="5">
        <v>93.7</v>
      </c>
      <c r="AH30" s="5">
        <f t="shared" si="1"/>
        <v>3499.534278798712</v>
      </c>
      <c r="AI30" s="5">
        <f t="shared" si="2"/>
        <v>6.5956632608011247</v>
      </c>
      <c r="AJ30" s="5">
        <v>2.2000000000000002</v>
      </c>
      <c r="AK30" s="5">
        <v>317.27999999999997</v>
      </c>
      <c r="AL30" s="5">
        <f>h_pt(AJ30*10,AK30)</f>
        <v>3058.8264461076665</v>
      </c>
      <c r="AM30" s="5">
        <f>h_ps(AJ30*10,AI30)</f>
        <v>2950.7671722869695</v>
      </c>
      <c r="AN30" s="5">
        <f t="shared" si="5"/>
        <v>440.7078326910455</v>
      </c>
      <c r="AO30" s="5">
        <f t="shared" si="6"/>
        <v>548.76710651174244</v>
      </c>
      <c r="AP30" s="5">
        <f t="shared" si="7"/>
        <v>80.30871884658329</v>
      </c>
      <c r="AQ30" s="5">
        <v>4.5550000000000006</v>
      </c>
      <c r="AR30" s="5">
        <v>5.15</v>
      </c>
      <c r="AS30" s="5">
        <v>32</v>
      </c>
      <c r="AT30" s="5">
        <v>353.28833333333336</v>
      </c>
      <c r="AU30" s="5">
        <f t="shared" si="8"/>
        <v>3.3999999999999986</v>
      </c>
      <c r="AV30" s="5">
        <f t="shared" si="9"/>
        <v>125.03004416762479</v>
      </c>
      <c r="AW30" s="6">
        <f t="shared" si="10"/>
        <v>71.044686496254727</v>
      </c>
      <c r="AX30" s="5">
        <v>169.34100000000001</v>
      </c>
      <c r="AY30" s="5">
        <f t="shared" si="11"/>
        <v>716143089</v>
      </c>
      <c r="AZ30" s="5">
        <f t="shared" si="12"/>
        <v>2571.5217386620707</v>
      </c>
      <c r="BA30" s="5">
        <f t="shared" si="0"/>
        <v>2744.4202120192854</v>
      </c>
      <c r="BB30" s="6">
        <v>295.27999999999997</v>
      </c>
      <c r="BC30" s="6">
        <v>278.49</v>
      </c>
      <c r="BD30" s="6">
        <v>4229</v>
      </c>
    </row>
    <row r="31" spans="1:56" x14ac:dyDescent="0.2">
      <c r="A31" s="2">
        <v>30</v>
      </c>
      <c r="B31" s="4">
        <v>45321</v>
      </c>
      <c r="C31" s="5">
        <v>837.8021240234375</v>
      </c>
      <c r="D31" s="5">
        <v>566.46732457478868</v>
      </c>
      <c r="E31" s="5">
        <v>14.30354413986206</v>
      </c>
      <c r="F31" s="5">
        <v>565.4640223185221</v>
      </c>
      <c r="G31" s="5">
        <v>84.648838361104325</v>
      </c>
      <c r="H31" s="5">
        <v>3.070186747126475</v>
      </c>
      <c r="I31" s="5">
        <v>230.32939434051511</v>
      </c>
      <c r="J31" s="5">
        <v>838.1497472127279</v>
      </c>
      <c r="K31" s="5">
        <v>122.1323897043865</v>
      </c>
      <c r="L31" s="5">
        <v>4.5988855361938477</v>
      </c>
      <c r="M31" s="5">
        <v>564.03919474283873</v>
      </c>
      <c r="N31" s="5">
        <v>14.22000169754028</v>
      </c>
      <c r="O31" s="5">
        <v>565.4640223185221</v>
      </c>
      <c r="P31" s="5">
        <v>1.982664167881012</v>
      </c>
      <c r="Q31" s="5">
        <v>10.501676718393959</v>
      </c>
      <c r="R31" s="5">
        <v>2.211684902509055</v>
      </c>
      <c r="S31" s="5">
        <v>15.60849916934967</v>
      </c>
      <c r="T31" s="5">
        <v>-92.413150416480178</v>
      </c>
      <c r="U31" s="5">
        <v>35.812806606292732</v>
      </c>
      <c r="V31" s="5">
        <v>476.84021386731212</v>
      </c>
      <c r="W31" s="5">
        <v>206.81022079094851</v>
      </c>
      <c r="X31" s="5">
        <v>117.56213952647811</v>
      </c>
      <c r="Y31" s="5">
        <v>97736.180725978906</v>
      </c>
      <c r="Z31" s="5">
        <v>6.5875595954379804</v>
      </c>
      <c r="AA31" s="5">
        <v>12.11038561066019</v>
      </c>
      <c r="AB31" s="5">
        <v>89.506664189782668</v>
      </c>
      <c r="AC31" s="5">
        <v>-0.2380346669081822</v>
      </c>
      <c r="AD31" s="5">
        <v>466.04396945503652</v>
      </c>
      <c r="AE31" s="5">
        <v>49.70805912160295</v>
      </c>
      <c r="AF31" s="5">
        <v>7.8591128164868813</v>
      </c>
      <c r="AG31" s="5">
        <v>93.67</v>
      </c>
      <c r="AH31" s="5">
        <f t="shared" si="1"/>
        <v>3501.6341659335858</v>
      </c>
      <c r="AI31" s="5">
        <f t="shared" si="2"/>
        <v>6.6045999936810871</v>
      </c>
      <c r="AJ31" s="5">
        <v>2.21</v>
      </c>
      <c r="AK31" s="5">
        <v>318.07</v>
      </c>
      <c r="AL31" s="5">
        <f>h_pt(AJ31*10,AK31)</f>
        <v>3060.3944826061397</v>
      </c>
      <c r="AM31" s="5">
        <f>h_ps(AJ31*10,AI31)</f>
        <v>2956.7135595727541</v>
      </c>
      <c r="AN31" s="5">
        <f t="shared" si="5"/>
        <v>441.23968332744607</v>
      </c>
      <c r="AO31" s="5">
        <f t="shared" si="6"/>
        <v>544.9206063608317</v>
      </c>
      <c r="AP31" s="5">
        <f t="shared" si="7"/>
        <v>80.973205670124543</v>
      </c>
      <c r="AQ31" s="5">
        <v>4.6083333333333334</v>
      </c>
      <c r="AR31" s="5">
        <v>5.1999999999999993</v>
      </c>
      <c r="AS31" s="5">
        <v>31</v>
      </c>
      <c r="AT31" s="5">
        <v>354.78666666666669</v>
      </c>
      <c r="AU31" s="5">
        <f t="shared" si="8"/>
        <v>3.3917197452229253</v>
      </c>
      <c r="AV31" s="5">
        <f t="shared" si="9"/>
        <v>125.22334496028368</v>
      </c>
      <c r="AW31" s="6">
        <f t="shared" si="10"/>
        <v>70.899559907670579</v>
      </c>
      <c r="AX31" s="5">
        <v>168.904</v>
      </c>
      <c r="AY31" s="5">
        <f t="shared" si="11"/>
        <v>714295016</v>
      </c>
      <c r="AZ31" s="5">
        <f t="shared" si="12"/>
        <v>2549.3237303258502</v>
      </c>
      <c r="BA31" s="5">
        <f t="shared" si="0"/>
        <v>2721.6010786013135</v>
      </c>
      <c r="BB31" s="6">
        <v>296.66000000000003</v>
      </c>
      <c r="BC31" s="6">
        <v>280.19</v>
      </c>
      <c r="BD31" s="6">
        <v>4229</v>
      </c>
    </row>
    <row r="32" spans="1:56" x14ac:dyDescent="0.2">
      <c r="A32" s="2">
        <v>31</v>
      </c>
      <c r="B32" s="4">
        <v>45322</v>
      </c>
      <c r="C32" s="5">
        <v>830.91603597005212</v>
      </c>
      <c r="D32" s="5">
        <v>566.73314030965184</v>
      </c>
      <c r="E32" s="5">
        <v>14.18508894443513</v>
      </c>
      <c r="F32" s="5">
        <v>564.59061431884766</v>
      </c>
      <c r="G32" s="5">
        <v>84.067330678304032</v>
      </c>
      <c r="H32" s="5">
        <v>3.119485013368831</v>
      </c>
      <c r="I32" s="5">
        <v>229.91647561391181</v>
      </c>
      <c r="J32" s="5">
        <v>828.59578704833984</v>
      </c>
      <c r="K32" s="5">
        <v>121.610681215922</v>
      </c>
      <c r="L32" s="5">
        <v>4.6531395316123962</v>
      </c>
      <c r="M32" s="5">
        <v>564.2611351013187</v>
      </c>
      <c r="N32" s="5">
        <v>14.09776592254639</v>
      </c>
      <c r="O32" s="5">
        <v>564.59061431884766</v>
      </c>
      <c r="P32" s="5">
        <v>1.965618282556534</v>
      </c>
      <c r="Q32" s="5">
        <v>10.40413403511047</v>
      </c>
      <c r="R32" s="5">
        <v>2.1933495203653979</v>
      </c>
      <c r="S32" s="5">
        <v>15.480425397555029</v>
      </c>
      <c r="T32" s="5">
        <v>-92.380748007032651</v>
      </c>
      <c r="U32" s="5">
        <v>35.949320634206138</v>
      </c>
      <c r="V32" s="5">
        <v>474.46994903034778</v>
      </c>
      <c r="W32" s="5">
        <v>223.92708829203079</v>
      </c>
      <c r="X32" s="5">
        <v>130.36837928567331</v>
      </c>
      <c r="Y32" s="5">
        <v>98143.557749232757</v>
      </c>
      <c r="Z32" s="5">
        <v>6.5763244294324252</v>
      </c>
      <c r="AA32" s="5">
        <v>12.000454278061611</v>
      </c>
      <c r="AB32" s="5">
        <v>89.924690660609983</v>
      </c>
      <c r="AC32" s="5">
        <v>-0.23411222478942501</v>
      </c>
      <c r="AD32" s="5">
        <v>461.81348198264442</v>
      </c>
      <c r="AE32" s="5">
        <v>49.709040986234733</v>
      </c>
      <c r="AF32" s="5">
        <v>6.661453241069303</v>
      </c>
      <c r="AG32" s="5">
        <v>93.72</v>
      </c>
      <c r="AH32" s="5">
        <f t="shared" si="1"/>
        <v>3503.4962838352326</v>
      </c>
      <c r="AI32" s="5">
        <f t="shared" si="2"/>
        <v>6.6103425564452074</v>
      </c>
      <c r="AJ32" s="5">
        <v>2.19</v>
      </c>
      <c r="AK32" s="7">
        <v>318.43</v>
      </c>
      <c r="AL32" s="5">
        <f t="shared" si="3"/>
        <v>3061.740187555743</v>
      </c>
      <c r="AM32" s="5">
        <f t="shared" si="4"/>
        <v>2957.7192882972631</v>
      </c>
      <c r="AN32" s="5">
        <f t="shared" si="5"/>
        <v>441.75609627948961</v>
      </c>
      <c r="AO32" s="5">
        <f t="shared" si="6"/>
        <v>545.77699553796947</v>
      </c>
      <c r="AP32" s="5">
        <f t="shared" si="7"/>
        <v>80.940768828860769</v>
      </c>
      <c r="AQ32" s="5">
        <v>4.7383333333333333</v>
      </c>
      <c r="AR32" s="5">
        <v>5.1400000000000006</v>
      </c>
      <c r="AS32" s="5">
        <v>34</v>
      </c>
      <c r="AT32" s="5">
        <v>354.34</v>
      </c>
      <c r="AU32" s="5">
        <f t="shared" si="8"/>
        <v>2.2937817258883286</v>
      </c>
      <c r="AV32" s="5">
        <f t="shared" si="9"/>
        <v>123.6202790115791</v>
      </c>
      <c r="AW32" s="6">
        <f t="shared" si="10"/>
        <v>72.023387959174897</v>
      </c>
      <c r="AX32" s="5">
        <v>169.73699999999999</v>
      </c>
      <c r="AY32" s="5">
        <f t="shared" si="11"/>
        <v>717817772.99999988</v>
      </c>
      <c r="AZ32" s="5">
        <f t="shared" ref="AZ32:AZ87" si="13">+AY32/(BC32*1000)</f>
        <v>2585.7057490724392</v>
      </c>
      <c r="BA32" s="5">
        <f t="shared" si="0"/>
        <v>2758.9690024247111</v>
      </c>
      <c r="BB32" s="6">
        <v>294.16000000000003</v>
      </c>
      <c r="BC32" s="6">
        <v>277.61</v>
      </c>
      <c r="BD32" s="6">
        <v>4229</v>
      </c>
    </row>
    <row r="33" spans="1:56" s="9" customFormat="1" x14ac:dyDescent="0.2">
      <c r="A33" s="3">
        <v>32</v>
      </c>
      <c r="B33" s="8"/>
      <c r="AK33" s="10"/>
      <c r="BB33" s="11"/>
      <c r="BC33" s="11"/>
      <c r="BD33" s="11"/>
    </row>
    <row r="34" spans="1:56" x14ac:dyDescent="0.2">
      <c r="A34" s="2">
        <v>33</v>
      </c>
      <c r="B34" s="4">
        <v>45323</v>
      </c>
      <c r="C34" s="5">
        <v>840.79608917236328</v>
      </c>
      <c r="D34" s="5">
        <v>567.0607388814293</v>
      </c>
      <c r="E34" s="5">
        <v>14.207471068700171</v>
      </c>
      <c r="F34" s="5">
        <v>565.52402750651038</v>
      </c>
      <c r="G34" s="5">
        <v>92.150670687357589</v>
      </c>
      <c r="H34" s="5">
        <v>2.7332476727692678</v>
      </c>
      <c r="I34" s="5">
        <v>230.58452955881739</v>
      </c>
      <c r="J34" s="5">
        <v>837.35894775390625</v>
      </c>
      <c r="K34" s="5">
        <v>122.67881017261089</v>
      </c>
      <c r="L34" s="5">
        <v>4.2902499934037523</v>
      </c>
      <c r="M34" s="5">
        <v>564.52069218953523</v>
      </c>
      <c r="N34" s="5">
        <v>14.11567775408427</v>
      </c>
      <c r="O34" s="5">
        <v>565.52402750651038</v>
      </c>
      <c r="P34" s="5">
        <v>1.989851822455724</v>
      </c>
      <c r="Q34" s="5">
        <v>10.528659065564471</v>
      </c>
      <c r="R34" s="5">
        <v>2.2197805345058459</v>
      </c>
      <c r="S34" s="5">
        <v>15.50557891527812</v>
      </c>
      <c r="T34" s="5">
        <v>-92.299666987525072</v>
      </c>
      <c r="U34" s="5">
        <v>36.090932051340737</v>
      </c>
      <c r="V34" s="5">
        <v>431.39535167827631</v>
      </c>
      <c r="W34" s="5">
        <v>194.05667378401159</v>
      </c>
      <c r="X34" s="5">
        <v>143.74931787951459</v>
      </c>
      <c r="Y34" s="5">
        <v>100078.1735640413</v>
      </c>
      <c r="Z34" s="5">
        <v>6.3070728834080141</v>
      </c>
      <c r="AA34" s="5">
        <v>11.62316865054189</v>
      </c>
      <c r="AB34" s="5">
        <v>95.990410877607061</v>
      </c>
      <c r="AC34" s="5">
        <v>-0.24887631998723389</v>
      </c>
      <c r="AD34" s="5">
        <v>447.29439917880359</v>
      </c>
      <c r="AE34" s="5">
        <v>49.706558241101938</v>
      </c>
      <c r="AF34" s="5">
        <v>7.845756904443264</v>
      </c>
      <c r="AG34" s="7">
        <v>93.74</v>
      </c>
      <c r="AH34" s="5">
        <f t="shared" si="1"/>
        <v>3504.1420064114136</v>
      </c>
      <c r="AI34" s="5">
        <f t="shared" si="2"/>
        <v>6.610442612184749</v>
      </c>
      <c r="AJ34" s="7">
        <v>2.2200000000000002</v>
      </c>
      <c r="AK34" s="7">
        <v>319.13</v>
      </c>
      <c r="AL34" s="5">
        <f t="shared" ref="AL34:AL62" si="14">h_pt(AJ34*10,AK34)</f>
        <v>3062.5874805660019</v>
      </c>
      <c r="AM34" s="5">
        <f t="shared" ref="AM34:AM62" si="15">h_ps(AJ34*10,AI34)</f>
        <v>2960.9828121717687</v>
      </c>
      <c r="AN34" s="5">
        <f t="shared" ref="AN34:AN62" si="16">+AH34-AL34</f>
        <v>441.55452584541172</v>
      </c>
      <c r="AO34" s="5">
        <f t="shared" ref="AO34:AO62" si="17">+AH34-AM34</f>
        <v>543.15919423964488</v>
      </c>
      <c r="AP34" s="5">
        <f t="shared" ref="AP34:AP62" si="18">+(AN34/AO34)*100</f>
        <v>81.293758906821594</v>
      </c>
      <c r="AQ34" s="5">
        <v>4.3016666666666667</v>
      </c>
      <c r="AR34" s="5">
        <v>4.8600000000000003</v>
      </c>
      <c r="AS34" s="5">
        <v>33</v>
      </c>
      <c r="AT34" s="5">
        <v>353.87333333333339</v>
      </c>
      <c r="AU34" s="5">
        <f t="shared" ref="AU34:AU62" si="19">((AR34-AQ34)/(20.9-AR34))*90</f>
        <v>3.1327930174563603</v>
      </c>
      <c r="AV34" s="5">
        <f t="shared" ref="AV34:AV62" si="20">K34+((AU34*(K34-AS34))/100)</f>
        <v>125.4882616758364</v>
      </c>
      <c r="AW34" s="6">
        <f t="shared" ref="AW34:AW62" si="21">((AT34-AV34)/(AT34-AS34))*100</f>
        <v>71.176083498420027</v>
      </c>
      <c r="AX34" s="7">
        <v>172.352</v>
      </c>
      <c r="AY34" s="5">
        <f t="shared" si="11"/>
        <v>731511587.59507203</v>
      </c>
      <c r="AZ34" s="5">
        <f t="shared" si="13"/>
        <v>2598.8971741040682</v>
      </c>
      <c r="BA34" s="5">
        <f t="shared" ref="BA34:BA62" si="22">+(AZ34/AG34)*100</f>
        <v>2772.4527140004993</v>
      </c>
      <c r="BB34" s="7">
        <v>298.07</v>
      </c>
      <c r="BC34" s="7">
        <v>281.47000000000003</v>
      </c>
      <c r="BD34" s="7">
        <v>4244.2883609999999</v>
      </c>
    </row>
    <row r="35" spans="1:56" x14ac:dyDescent="0.2">
      <c r="A35" s="2">
        <v>34</v>
      </c>
      <c r="B35" s="4">
        <v>45324</v>
      </c>
      <c r="C35" s="5">
        <v>830.60211181640625</v>
      </c>
      <c r="D35" s="5">
        <v>566.85932922363338</v>
      </c>
      <c r="E35" s="5">
        <v>13.957023954391479</v>
      </c>
      <c r="F35" s="5">
        <v>565.76209004720056</v>
      </c>
      <c r="G35" s="5">
        <v>89.925913174947098</v>
      </c>
      <c r="H35" s="5">
        <v>3.0184260467315962</v>
      </c>
      <c r="I35" s="5">
        <v>229.91836357116691</v>
      </c>
      <c r="J35" s="5">
        <v>824.19245910644531</v>
      </c>
      <c r="K35" s="5">
        <v>121.5254198180305</v>
      </c>
      <c r="L35" s="5">
        <v>4.4936186671257019</v>
      </c>
      <c r="M35" s="5">
        <v>564.51352183024107</v>
      </c>
      <c r="N35" s="5">
        <v>13.86731453736623</v>
      </c>
      <c r="O35" s="5">
        <v>565.76209004720056</v>
      </c>
      <c r="P35" s="5">
        <v>1.9652977983156841</v>
      </c>
      <c r="Q35" s="5">
        <v>10.38284583886464</v>
      </c>
      <c r="R35" s="5">
        <v>2.1922278702259081</v>
      </c>
      <c r="S35" s="5">
        <v>15.25686268011729</v>
      </c>
      <c r="T35" s="5">
        <v>-92.343494309319397</v>
      </c>
      <c r="U35" s="5">
        <v>36.001413504282631</v>
      </c>
      <c r="V35" s="5">
        <v>440.48440602875093</v>
      </c>
      <c r="W35" s="5">
        <v>202.71058322435701</v>
      </c>
      <c r="X35" s="5">
        <v>158.42988702296111</v>
      </c>
      <c r="Y35" s="5">
        <v>98183.751522303035</v>
      </c>
      <c r="Z35" s="5">
        <v>6.5453490864880521</v>
      </c>
      <c r="AA35" s="5">
        <v>11.911700603426761</v>
      </c>
      <c r="AB35" s="5">
        <v>95.303200669046205</v>
      </c>
      <c r="AC35" s="5">
        <v>-0.2474176865588055</v>
      </c>
      <c r="AD35" s="5">
        <v>458.39797432167182</v>
      </c>
      <c r="AE35" s="5">
        <v>49.706566468617751</v>
      </c>
      <c r="AF35" s="5">
        <v>7.394806851299939</v>
      </c>
      <c r="AG35" s="7">
        <v>93.74</v>
      </c>
      <c r="AH35" s="5">
        <f t="shared" si="1"/>
        <v>3506.056682820843</v>
      </c>
      <c r="AI35" s="5">
        <f t="shared" si="2"/>
        <v>6.6202698808767853</v>
      </c>
      <c r="AJ35" s="7">
        <v>2.19</v>
      </c>
      <c r="AK35" s="7">
        <v>319.60000000000002</v>
      </c>
      <c r="AL35" s="5">
        <f t="shared" si="14"/>
        <v>3064.4382580858369</v>
      </c>
      <c r="AM35" s="5">
        <f t="shared" si="15"/>
        <v>2963.1680378351612</v>
      </c>
      <c r="AN35" s="5">
        <f t="shared" si="16"/>
        <v>441.6184247350061</v>
      </c>
      <c r="AO35" s="5">
        <f t="shared" si="17"/>
        <v>542.88864498568182</v>
      </c>
      <c r="AP35" s="5">
        <f t="shared" si="18"/>
        <v>81.34604192111135</v>
      </c>
      <c r="AQ35" s="5">
        <v>4.5116666666666667</v>
      </c>
      <c r="AR35" s="5">
        <v>5.0749999999999993</v>
      </c>
      <c r="AS35" s="5">
        <v>32</v>
      </c>
      <c r="AT35" s="5">
        <v>354.00833333333338</v>
      </c>
      <c r="AU35" s="5">
        <f t="shared" si="19"/>
        <v>3.2037914691943086</v>
      </c>
      <c r="AV35" s="5">
        <f t="shared" si="20"/>
        <v>124.39362758092095</v>
      </c>
      <c r="AW35" s="6">
        <f t="shared" si="21"/>
        <v>71.307069408890783</v>
      </c>
      <c r="AX35" s="7">
        <v>171.78800000000001</v>
      </c>
      <c r="AY35" s="5">
        <f t="shared" si="11"/>
        <v>729117808.95946801</v>
      </c>
      <c r="AZ35" s="5">
        <f t="shared" si="13"/>
        <v>2629.4414113724547</v>
      </c>
      <c r="BA35" s="5">
        <f t="shared" si="22"/>
        <v>2805.036709379619</v>
      </c>
      <c r="BB35" s="7">
        <v>293.94</v>
      </c>
      <c r="BC35" s="7">
        <v>277.29000000000002</v>
      </c>
      <c r="BD35" s="7">
        <v>4244.2883609999999</v>
      </c>
    </row>
    <row r="36" spans="1:56" x14ac:dyDescent="0.2">
      <c r="A36" s="2">
        <v>35</v>
      </c>
      <c r="B36" s="4">
        <v>45325</v>
      </c>
      <c r="C36" s="5">
        <v>841.44427235921228</v>
      </c>
      <c r="D36" s="5">
        <v>566.87095769246457</v>
      </c>
      <c r="E36" s="5">
        <v>14.31268182595571</v>
      </c>
      <c r="F36" s="5">
        <v>565.03179423014319</v>
      </c>
      <c r="G36" s="5">
        <v>88.408662637074784</v>
      </c>
      <c r="H36" s="5">
        <v>3.5729240989342852</v>
      </c>
      <c r="I36" s="5">
        <v>230.51168282826731</v>
      </c>
      <c r="J36" s="5">
        <v>837.34837341308594</v>
      </c>
      <c r="K36" s="5">
        <v>121.4380266401503</v>
      </c>
      <c r="L36" s="5">
        <v>4.4467533429463701</v>
      </c>
      <c r="M36" s="5">
        <v>564.4696693420409</v>
      </c>
      <c r="N36" s="5">
        <v>14.22795617580414</v>
      </c>
      <c r="O36" s="5">
        <v>565.03179423014319</v>
      </c>
      <c r="P36" s="5">
        <v>1.991301581263542</v>
      </c>
      <c r="Q36" s="5">
        <v>10.503908634185789</v>
      </c>
      <c r="R36" s="5">
        <v>2.2216499497493132</v>
      </c>
      <c r="S36" s="5">
        <v>15.62097664674123</v>
      </c>
      <c r="T36" s="5">
        <v>-92.297829575008805</v>
      </c>
      <c r="U36" s="5">
        <v>36.03457633654277</v>
      </c>
      <c r="V36" s="5">
        <v>451.96455699906983</v>
      </c>
      <c r="W36" s="5">
        <v>191.98930968287729</v>
      </c>
      <c r="X36" s="5">
        <v>173.21754444563069</v>
      </c>
      <c r="Y36" s="5">
        <v>98630.406291042629</v>
      </c>
      <c r="Z36" s="5">
        <v>6.4403599691650024</v>
      </c>
      <c r="AA36" s="5">
        <v>11.95567210937916</v>
      </c>
      <c r="AB36" s="5">
        <v>88.19727751333086</v>
      </c>
      <c r="AC36" s="5">
        <v>-0.2312233169660759</v>
      </c>
      <c r="AD36" s="5">
        <v>460.09012978523788</v>
      </c>
      <c r="AE36" s="5">
        <v>49.705975238179889</v>
      </c>
      <c r="AF36" s="5">
        <v>7.7506851188361123</v>
      </c>
      <c r="AG36" s="7">
        <v>93.789999999999992</v>
      </c>
      <c r="AH36" s="5">
        <f t="shared" si="1"/>
        <v>3502.6118053852447</v>
      </c>
      <c r="AI36" s="5">
        <f t="shared" si="2"/>
        <v>6.6054934914500603</v>
      </c>
      <c r="AJ36" s="7">
        <v>2.2200000000000002</v>
      </c>
      <c r="AK36" s="7">
        <v>319</v>
      </c>
      <c r="AL36" s="5">
        <f t="shared" si="14"/>
        <v>3062.2870645864182</v>
      </c>
      <c r="AM36" s="5">
        <f t="shared" si="15"/>
        <v>2958.2659501322669</v>
      </c>
      <c r="AN36" s="5">
        <f t="shared" si="16"/>
        <v>440.3247407988265</v>
      </c>
      <c r="AO36" s="5">
        <f t="shared" si="17"/>
        <v>544.3458552529778</v>
      </c>
      <c r="AP36" s="5">
        <f t="shared" si="18"/>
        <v>80.890620650393515</v>
      </c>
      <c r="AQ36" s="5">
        <v>4.4133333333333331</v>
      </c>
      <c r="AR36" s="5">
        <v>4.9649999999999999</v>
      </c>
      <c r="AS36" s="5">
        <v>30</v>
      </c>
      <c r="AT36" s="5">
        <v>354.26166666666671</v>
      </c>
      <c r="AU36" s="5">
        <f t="shared" si="19"/>
        <v>3.1157828679008479</v>
      </c>
      <c r="AV36" s="5">
        <f t="shared" si="20"/>
        <v>124.28703700895072</v>
      </c>
      <c r="AW36" s="6">
        <f t="shared" si="21"/>
        <v>70.922545986332835</v>
      </c>
      <c r="AX36" s="7">
        <v>169.215</v>
      </c>
      <c r="AY36" s="5">
        <f t="shared" si="11"/>
        <v>718197255.00661492</v>
      </c>
      <c r="AZ36" s="5">
        <f t="shared" si="13"/>
        <v>2552.0476689880425</v>
      </c>
      <c r="BA36" s="5">
        <f t="shared" si="22"/>
        <v>2721.0232103508292</v>
      </c>
      <c r="BB36" s="7">
        <v>298</v>
      </c>
      <c r="BC36" s="7">
        <v>281.42</v>
      </c>
      <c r="BD36" s="7">
        <v>4244.2883609999999</v>
      </c>
    </row>
    <row r="37" spans="1:56" x14ac:dyDescent="0.2">
      <c r="A37" s="2">
        <v>36</v>
      </c>
      <c r="B37" s="4">
        <v>45326</v>
      </c>
      <c r="C37" s="5">
        <v>838.57241312662757</v>
      </c>
      <c r="D37" s="5">
        <v>566.5406951904306</v>
      </c>
      <c r="E37" s="5">
        <v>14.333210062980649</v>
      </c>
      <c r="F37" s="5">
        <v>565.7110595703125</v>
      </c>
      <c r="G37" s="5">
        <v>80.617730140686035</v>
      </c>
      <c r="H37" s="5">
        <v>2.478722392617783</v>
      </c>
      <c r="I37" s="5">
        <v>230.31800778706861</v>
      </c>
      <c r="J37" s="5">
        <v>833.23455301920569</v>
      </c>
      <c r="K37" s="5">
        <v>120.508112748464</v>
      </c>
      <c r="L37" s="5">
        <v>4.6065599123636876</v>
      </c>
      <c r="M37" s="5">
        <v>564.24950281778979</v>
      </c>
      <c r="N37" s="5">
        <v>14.248958388964329</v>
      </c>
      <c r="O37" s="5">
        <v>565.7110595703125</v>
      </c>
      <c r="P37" s="5">
        <v>1.983610307176908</v>
      </c>
      <c r="Q37" s="5">
        <v>10.478557149569189</v>
      </c>
      <c r="R37" s="5">
        <v>2.213287229339282</v>
      </c>
      <c r="S37" s="5">
        <v>15.64279222488403</v>
      </c>
      <c r="T37" s="5">
        <v>-92.286040518018964</v>
      </c>
      <c r="U37" s="5">
        <v>36.080879211425781</v>
      </c>
      <c r="V37" s="5">
        <v>435.77621911135861</v>
      </c>
      <c r="W37" s="5">
        <v>207.6726123305701</v>
      </c>
      <c r="X37" s="5">
        <v>186.87522722883941</v>
      </c>
      <c r="Y37" s="5">
        <v>97475.827521944171</v>
      </c>
      <c r="Z37" s="5">
        <v>6.6113677709753196</v>
      </c>
      <c r="AA37" s="5">
        <v>11.89733839467781</v>
      </c>
      <c r="AB37" s="5">
        <v>84.57556114657514</v>
      </c>
      <c r="AC37" s="5">
        <v>-0.22000384916138149</v>
      </c>
      <c r="AD37" s="5">
        <v>457.84527344238637</v>
      </c>
      <c r="AE37" s="5">
        <v>49.707538280859978</v>
      </c>
      <c r="AF37" s="5">
        <v>8.4792692336623308</v>
      </c>
      <c r="AG37" s="7">
        <v>93.789999999999992</v>
      </c>
      <c r="AH37" s="5">
        <f t="shared" si="1"/>
        <v>3501.5373856812898</v>
      </c>
      <c r="AI37" s="5">
        <f t="shared" si="2"/>
        <v>6.6036069419983789</v>
      </c>
      <c r="AJ37" s="7">
        <v>2.2000000000000002</v>
      </c>
      <c r="AK37" s="7">
        <v>318.85000000000002</v>
      </c>
      <c r="AL37" s="5">
        <f t="shared" si="14"/>
        <v>3062.4530335838299</v>
      </c>
      <c r="AM37" s="5">
        <f t="shared" si="15"/>
        <v>2955.104200217982</v>
      </c>
      <c r="AN37" s="5">
        <f t="shared" si="16"/>
        <v>439.08435209745994</v>
      </c>
      <c r="AO37" s="5">
        <f t="shared" si="17"/>
        <v>546.43318546330784</v>
      </c>
      <c r="AP37" s="5">
        <f t="shared" si="18"/>
        <v>80.354627752919257</v>
      </c>
      <c r="AQ37" s="5">
        <v>4.580000000000001</v>
      </c>
      <c r="AR37" s="5">
        <v>5.0749999999999993</v>
      </c>
      <c r="AS37" s="5">
        <v>32</v>
      </c>
      <c r="AT37" s="5">
        <v>352.10500000000002</v>
      </c>
      <c r="AU37" s="5">
        <f t="shared" si="19"/>
        <v>2.8151658767772414</v>
      </c>
      <c r="AV37" s="5">
        <f t="shared" si="20"/>
        <v>122.99976293673829</v>
      </c>
      <c r="AW37" s="6">
        <f t="shared" si="21"/>
        <v>71.571902051908495</v>
      </c>
      <c r="AX37" s="7">
        <v>167.42500000000001</v>
      </c>
      <c r="AY37" s="5">
        <f t="shared" si="11"/>
        <v>710599978.84042501</v>
      </c>
      <c r="AZ37" s="5">
        <f t="shared" si="13"/>
        <v>2547.227224577643</v>
      </c>
      <c r="BA37" s="5">
        <f t="shared" si="22"/>
        <v>2715.8835958819095</v>
      </c>
      <c r="BB37" s="7">
        <v>295.45999999999998</v>
      </c>
      <c r="BC37" s="7">
        <v>278.97000000000003</v>
      </c>
      <c r="BD37" s="7">
        <v>4244.2883609999999</v>
      </c>
    </row>
    <row r="38" spans="1:56" x14ac:dyDescent="0.2">
      <c r="A38" s="2">
        <v>37</v>
      </c>
      <c r="B38" s="4">
        <v>45327</v>
      </c>
      <c r="C38" s="5">
        <v>845.55440012613929</v>
      </c>
      <c r="D38" s="5">
        <v>566.7465655008948</v>
      </c>
      <c r="E38" s="5">
        <v>14.482362445195511</v>
      </c>
      <c r="F38" s="5">
        <v>565.74422709147132</v>
      </c>
      <c r="G38" s="5">
        <v>78.225094318389893</v>
      </c>
      <c r="H38" s="5">
        <v>3.7366672418138478</v>
      </c>
      <c r="I38" s="5">
        <v>230.7412919998167</v>
      </c>
      <c r="J38" s="5">
        <v>831.33624013264978</v>
      </c>
      <c r="K38" s="5">
        <v>116.35409667756829</v>
      </c>
      <c r="L38" s="5">
        <v>4.3886870543162031</v>
      </c>
      <c r="M38" s="5">
        <v>564.47324752807674</v>
      </c>
      <c r="N38" s="5">
        <v>14.39654568831126</v>
      </c>
      <c r="O38" s="5">
        <v>565.74422709147132</v>
      </c>
      <c r="P38" s="5">
        <v>2.001861770947774</v>
      </c>
      <c r="Q38" s="5">
        <v>10.51795776685079</v>
      </c>
      <c r="R38" s="5">
        <v>2.2325382580359809</v>
      </c>
      <c r="S38" s="5">
        <v>15.773171027501419</v>
      </c>
      <c r="T38" s="5">
        <v>-92.338228649563234</v>
      </c>
      <c r="U38" s="5">
        <v>35.985515356063857</v>
      </c>
      <c r="V38" s="5">
        <v>474.822907428581</v>
      </c>
      <c r="W38" s="5">
        <v>204.9546141404503</v>
      </c>
      <c r="X38" s="5">
        <v>199.4408570938574</v>
      </c>
      <c r="Y38" s="5">
        <v>97424.260445301843</v>
      </c>
      <c r="Z38" s="5">
        <v>6.5763961737974919</v>
      </c>
      <c r="AA38" s="5">
        <v>11.90416082271177</v>
      </c>
      <c r="AB38" s="5">
        <v>85.557126711386488</v>
      </c>
      <c r="AC38" s="5">
        <v>-0.22694899282498099</v>
      </c>
      <c r="AD38" s="5">
        <v>458.10782094041701</v>
      </c>
      <c r="AE38" s="5">
        <v>49.70823590552326</v>
      </c>
      <c r="AF38" s="5">
        <v>9.042943864290736</v>
      </c>
      <c r="AG38" s="7">
        <v>94</v>
      </c>
      <c r="AH38" s="5">
        <f t="shared" si="1"/>
        <v>3500.6199613592835</v>
      </c>
      <c r="AI38" s="5">
        <f t="shared" si="2"/>
        <v>6.598130827934205</v>
      </c>
      <c r="AJ38" s="7">
        <v>2.2200000000000002</v>
      </c>
      <c r="AK38" s="7">
        <v>319.01</v>
      </c>
      <c r="AL38" s="5">
        <f t="shared" si="14"/>
        <v>3062.3101749256862</v>
      </c>
      <c r="AM38" s="5">
        <f t="shared" si="15"/>
        <v>2954.234188131943</v>
      </c>
      <c r="AN38" s="5">
        <f t="shared" si="16"/>
        <v>438.30978643359731</v>
      </c>
      <c r="AO38" s="5">
        <f t="shared" si="17"/>
        <v>546.38577322734045</v>
      </c>
      <c r="AP38" s="5">
        <f t="shared" si="18"/>
        <v>80.219838786180318</v>
      </c>
      <c r="AQ38" s="5">
        <v>4.3966666666666674</v>
      </c>
      <c r="AR38" s="5">
        <v>4.9849999999999994</v>
      </c>
      <c r="AS38" s="5">
        <v>31</v>
      </c>
      <c r="AT38" s="5">
        <v>353.86833333333334</v>
      </c>
      <c r="AU38" s="5">
        <f t="shared" si="19"/>
        <v>3.3270499528746393</v>
      </c>
      <c r="AV38" s="5">
        <f t="shared" si="20"/>
        <v>119.1938701108559</v>
      </c>
      <c r="AW38" s="6">
        <f t="shared" si="21"/>
        <v>72.684261351885681</v>
      </c>
      <c r="AX38" s="7">
        <v>167.42699999999999</v>
      </c>
      <c r="AY38" s="5">
        <f t="shared" si="11"/>
        <v>710608467.41714692</v>
      </c>
      <c r="AZ38" s="5">
        <f t="shared" si="13"/>
        <v>2524.1846668696608</v>
      </c>
      <c r="BA38" s="5">
        <f t="shared" si="22"/>
        <v>2685.3028370953834</v>
      </c>
      <c r="BB38" s="7">
        <v>298.24</v>
      </c>
      <c r="BC38" s="7">
        <v>281.52</v>
      </c>
      <c r="BD38" s="7">
        <v>4244.2883609999999</v>
      </c>
    </row>
    <row r="39" spans="1:56" x14ac:dyDescent="0.2">
      <c r="A39" s="2">
        <v>38</v>
      </c>
      <c r="B39" s="4">
        <v>45328</v>
      </c>
      <c r="C39" s="5">
        <v>827.79128011067712</v>
      </c>
      <c r="D39" s="5">
        <v>567.13859685262059</v>
      </c>
      <c r="E39" s="5">
        <v>14.148377434412639</v>
      </c>
      <c r="F39" s="5">
        <v>566.34471384684241</v>
      </c>
      <c r="G39" s="5">
        <v>79.12419605255127</v>
      </c>
      <c r="H39" s="5">
        <v>1.6124165067408189</v>
      </c>
      <c r="I39" s="5">
        <v>229.71311092376689</v>
      </c>
      <c r="J39" s="5">
        <v>816.21116129557288</v>
      </c>
      <c r="K39" s="5">
        <v>120.3183090951708</v>
      </c>
      <c r="L39" s="5">
        <v>4.6009593208630877</v>
      </c>
      <c r="M39" s="5">
        <v>564.79096349080419</v>
      </c>
      <c r="N39" s="5">
        <v>14.06280040740967</v>
      </c>
      <c r="O39" s="5">
        <v>566.34471384684241</v>
      </c>
      <c r="P39" s="5">
        <v>1.9589036802450821</v>
      </c>
      <c r="Q39" s="5">
        <v>10.32415994008382</v>
      </c>
      <c r="R39" s="5">
        <v>2.1856964280207958</v>
      </c>
      <c r="S39" s="5">
        <v>15.43564132849375</v>
      </c>
      <c r="T39" s="5">
        <v>-92.684772067599852</v>
      </c>
      <c r="U39" s="5">
        <v>35.82371640205384</v>
      </c>
      <c r="V39" s="5">
        <v>457.96015967960528</v>
      </c>
      <c r="W39" s="5">
        <v>209.95401028809769</v>
      </c>
      <c r="X39" s="5">
        <v>213.43752922436479</v>
      </c>
      <c r="Y39" s="5">
        <v>97412.993480683581</v>
      </c>
      <c r="Z39" s="5">
        <v>6.6230281897476333</v>
      </c>
      <c r="AA39" s="5">
        <v>11.792059716304109</v>
      </c>
      <c r="AB39" s="5">
        <v>85.947651861492943</v>
      </c>
      <c r="AC39" s="5">
        <v>-0.22616355723142531</v>
      </c>
      <c r="AD39" s="5">
        <v>453.79383406253118</v>
      </c>
      <c r="AE39" s="5">
        <v>49.705957460523173</v>
      </c>
      <c r="AF39" s="5">
        <v>11.890149125270939</v>
      </c>
      <c r="AG39" s="7">
        <v>93.81</v>
      </c>
      <c r="AH39" s="5">
        <f t="shared" si="1"/>
        <v>3504.9245494180686</v>
      </c>
      <c r="AI39" s="5">
        <f t="shared" si="2"/>
        <v>6.6131418965007178</v>
      </c>
      <c r="AJ39" s="7">
        <v>2.19</v>
      </c>
      <c r="AK39" s="7">
        <v>319.63</v>
      </c>
      <c r="AL39" s="5">
        <f t="shared" si="14"/>
        <v>3064.5073980258185</v>
      </c>
      <c r="AM39" s="5">
        <f t="shared" si="15"/>
        <v>2959.2535235966784</v>
      </c>
      <c r="AN39" s="5">
        <f t="shared" si="16"/>
        <v>440.41715139225016</v>
      </c>
      <c r="AO39" s="5">
        <f t="shared" si="17"/>
        <v>545.67102582139023</v>
      </c>
      <c r="AP39" s="5">
        <f t="shared" si="18"/>
        <v>80.711111741602366</v>
      </c>
      <c r="AQ39" s="5">
        <v>4.6816666666666666</v>
      </c>
      <c r="AR39" s="5">
        <v>5.1300000000000008</v>
      </c>
      <c r="AS39" s="5">
        <v>32</v>
      </c>
      <c r="AT39" s="5">
        <v>354.62999999999994</v>
      </c>
      <c r="AU39" s="5">
        <f t="shared" si="19"/>
        <v>2.5586556753329157</v>
      </c>
      <c r="AV39" s="5">
        <f t="shared" si="20"/>
        <v>122.57807052319245</v>
      </c>
      <c r="AW39" s="6">
        <f t="shared" si="21"/>
        <v>71.925093598489767</v>
      </c>
      <c r="AX39" s="7">
        <v>164.69800000000001</v>
      </c>
      <c r="AY39" s="5">
        <f t="shared" si="11"/>
        <v>699025804.47997808</v>
      </c>
      <c r="AZ39" s="5">
        <f t="shared" si="13"/>
        <v>2519.5566770472105</v>
      </c>
      <c r="BA39" s="5">
        <f t="shared" si="22"/>
        <v>2685.8082049325344</v>
      </c>
      <c r="BB39" s="7">
        <v>294.14</v>
      </c>
      <c r="BC39" s="7">
        <v>277.44</v>
      </c>
      <c r="BD39" s="7">
        <v>4244.2883609999999</v>
      </c>
    </row>
    <row r="40" spans="1:56" x14ac:dyDescent="0.2">
      <c r="A40" s="2">
        <v>39</v>
      </c>
      <c r="B40" s="4">
        <v>45329</v>
      </c>
      <c r="C40" s="5">
        <v>830.86956532796228</v>
      </c>
      <c r="D40" s="5">
        <v>566.89245605468773</v>
      </c>
      <c r="E40" s="5">
        <v>14.27763338088989</v>
      </c>
      <c r="F40" s="5">
        <v>566.04400889078772</v>
      </c>
      <c r="G40" s="5">
        <v>73.06898832321167</v>
      </c>
      <c r="H40" s="5">
        <v>1.852210530008354</v>
      </c>
      <c r="I40" s="5">
        <v>229.92926565806059</v>
      </c>
      <c r="J40" s="5">
        <v>822.95086669921875</v>
      </c>
      <c r="K40" s="5">
        <v>120.5567989349365</v>
      </c>
      <c r="L40" s="5">
        <v>4.9543119072914124</v>
      </c>
      <c r="M40" s="5">
        <v>564.549326578776</v>
      </c>
      <c r="N40" s="5">
        <v>14.195966680844631</v>
      </c>
      <c r="O40" s="5">
        <v>566.04400889078772</v>
      </c>
      <c r="P40" s="5">
        <v>1.96570985019207</v>
      </c>
      <c r="Q40" s="5">
        <v>10.37017007668813</v>
      </c>
      <c r="R40" s="5">
        <v>2.1928764432668668</v>
      </c>
      <c r="S40" s="5">
        <v>15.57603363196055</v>
      </c>
      <c r="T40" s="5">
        <v>-93.255286057790144</v>
      </c>
      <c r="U40" s="5">
        <v>35.547817309697493</v>
      </c>
      <c r="V40" s="5">
        <v>448.61189971116698</v>
      </c>
      <c r="W40" s="5">
        <v>208.93268498208619</v>
      </c>
      <c r="X40" s="5">
        <v>225.7166133993706</v>
      </c>
      <c r="Y40" s="5">
        <v>97543.186286440294</v>
      </c>
      <c r="Z40" s="5">
        <v>6.7386276207731246</v>
      </c>
      <c r="AA40" s="5">
        <v>11.81591062213389</v>
      </c>
      <c r="AB40" s="5">
        <v>96.327410785685501</v>
      </c>
      <c r="AC40" s="5">
        <v>-0.2467204336142732</v>
      </c>
      <c r="AD40" s="5">
        <v>454.71168847157873</v>
      </c>
      <c r="AE40" s="5">
        <v>49.701644980328268</v>
      </c>
      <c r="AF40" s="5">
        <v>11.74838103149817</v>
      </c>
      <c r="AG40" s="7">
        <v>93.74</v>
      </c>
      <c r="AH40" s="5">
        <f t="shared" si="1"/>
        <v>3503.0116094847385</v>
      </c>
      <c r="AI40" s="5">
        <f t="shared" si="2"/>
        <v>6.6070085106647456</v>
      </c>
      <c r="AJ40" s="7">
        <v>2.19</v>
      </c>
      <c r="AK40" s="7">
        <v>318.81</v>
      </c>
      <c r="AL40" s="5">
        <f t="shared" si="14"/>
        <v>3062.6168306287241</v>
      </c>
      <c r="AM40" s="5">
        <f t="shared" si="15"/>
        <v>2955.8942637593632</v>
      </c>
      <c r="AN40" s="5">
        <f t="shared" si="16"/>
        <v>440.39477885601445</v>
      </c>
      <c r="AO40" s="5">
        <f t="shared" si="17"/>
        <v>547.11734572537534</v>
      </c>
      <c r="AP40" s="5">
        <f t="shared" si="18"/>
        <v>80.493660509361717</v>
      </c>
      <c r="AQ40" s="5">
        <v>4.92</v>
      </c>
      <c r="AR40" s="5">
        <v>5.2149999999999999</v>
      </c>
      <c r="AS40" s="5">
        <v>32</v>
      </c>
      <c r="AT40" s="5">
        <v>354.92333333333335</v>
      </c>
      <c r="AU40" s="5">
        <f t="shared" si="19"/>
        <v>1.69270003187759</v>
      </c>
      <c r="AV40" s="5">
        <f t="shared" si="20"/>
        <v>122.05579989873794</v>
      </c>
      <c r="AW40" s="6">
        <f t="shared" si="21"/>
        <v>72.112328034908828</v>
      </c>
      <c r="AX40" s="7">
        <v>164.185</v>
      </c>
      <c r="AY40" s="5">
        <f t="shared" si="11"/>
        <v>696848484.55078506</v>
      </c>
      <c r="AZ40" s="5">
        <f t="shared" si="13"/>
        <v>2484.1312011649261</v>
      </c>
      <c r="BA40" s="5">
        <f t="shared" si="22"/>
        <v>2650.0226169883999</v>
      </c>
      <c r="BB40" s="7">
        <v>296.89</v>
      </c>
      <c r="BC40" s="7">
        <v>280.52</v>
      </c>
      <c r="BD40" s="7">
        <v>4244.2883609999999</v>
      </c>
    </row>
    <row r="41" spans="1:56" x14ac:dyDescent="0.2">
      <c r="A41" s="2">
        <v>40</v>
      </c>
      <c r="B41" s="4">
        <v>45330</v>
      </c>
      <c r="C41" s="5">
        <v>822.51264190673828</v>
      </c>
      <c r="D41" s="5">
        <v>566.68210728963243</v>
      </c>
      <c r="E41" s="5">
        <v>14.16333275636037</v>
      </c>
      <c r="F41" s="5">
        <v>566.01001230875647</v>
      </c>
      <c r="G41" s="5">
        <v>80.885700543721512</v>
      </c>
      <c r="H41" s="5">
        <v>3.788180743499348</v>
      </c>
      <c r="I41" s="5">
        <v>229.3461100260414</v>
      </c>
      <c r="J41" s="5">
        <v>809.19643402099609</v>
      </c>
      <c r="K41" s="5">
        <v>121.0433476765951</v>
      </c>
      <c r="L41" s="5">
        <v>4.8349879185358686</v>
      </c>
      <c r="M41" s="5">
        <v>564.36495463053416</v>
      </c>
      <c r="N41" s="5">
        <v>14.08260091145833</v>
      </c>
      <c r="O41" s="5">
        <v>566.01001230875647</v>
      </c>
      <c r="P41" s="5">
        <v>1.945886567234993</v>
      </c>
      <c r="Q41" s="5">
        <v>10.233284036318461</v>
      </c>
      <c r="R41" s="5">
        <v>2.1720307022333118</v>
      </c>
      <c r="S41" s="5">
        <v>15.40865965684255</v>
      </c>
      <c r="T41" s="5">
        <v>-93.367692682478207</v>
      </c>
      <c r="U41" s="5">
        <v>35.307388305664077</v>
      </c>
      <c r="V41" s="5">
        <v>470.63896540887862</v>
      </c>
      <c r="W41" s="5">
        <v>216.46811651574481</v>
      </c>
      <c r="X41" s="5">
        <v>236.81331708556729</v>
      </c>
      <c r="Y41" s="5">
        <v>96359.332632972524</v>
      </c>
      <c r="Z41" s="5">
        <v>6.7665836952747371</v>
      </c>
      <c r="AA41" s="5">
        <v>11.899018653591019</v>
      </c>
      <c r="AB41" s="5">
        <v>86.181263973189274</v>
      </c>
      <c r="AC41" s="5">
        <v>-0.22133667865332571</v>
      </c>
      <c r="AD41" s="5">
        <v>457.90993484614341</v>
      </c>
      <c r="AE41" s="5">
        <v>49.707315413223171</v>
      </c>
      <c r="AF41" s="5">
        <v>12.345835249306081</v>
      </c>
      <c r="AG41" s="7">
        <v>93.679999999999993</v>
      </c>
      <c r="AH41" s="5">
        <f t="shared" si="1"/>
        <v>3503.5744483304575</v>
      </c>
      <c r="AI41" s="5">
        <f t="shared" si="2"/>
        <v>6.6110865936547789</v>
      </c>
      <c r="AJ41" s="7">
        <v>2.17</v>
      </c>
      <c r="AK41" s="7">
        <v>319.14</v>
      </c>
      <c r="AL41" s="5">
        <f t="shared" si="14"/>
        <v>3063.8884695798029</v>
      </c>
      <c r="AM41" s="5">
        <f t="shared" si="15"/>
        <v>2955.9680636676062</v>
      </c>
      <c r="AN41" s="5">
        <f t="shared" si="16"/>
        <v>439.68597875065461</v>
      </c>
      <c r="AO41" s="5">
        <f t="shared" si="17"/>
        <v>547.60638466285127</v>
      </c>
      <c r="AP41" s="5">
        <f t="shared" si="18"/>
        <v>80.292339728902036</v>
      </c>
      <c r="AQ41" s="5">
        <v>4.8600000000000003</v>
      </c>
      <c r="AR41" s="5">
        <v>5.375</v>
      </c>
      <c r="AS41" s="5">
        <v>33</v>
      </c>
      <c r="AT41" s="5">
        <v>352.89833333333331</v>
      </c>
      <c r="AU41" s="5">
        <f t="shared" si="19"/>
        <v>2.9855072463768098</v>
      </c>
      <c r="AV41" s="5">
        <f t="shared" si="20"/>
        <v>123.67188820143258</v>
      </c>
      <c r="AW41" s="6">
        <f t="shared" si="21"/>
        <v>71.656029821526872</v>
      </c>
      <c r="AX41" s="7">
        <v>166.809</v>
      </c>
      <c r="AY41" s="5">
        <f t="shared" si="11"/>
        <v>707985497.21004891</v>
      </c>
      <c r="AZ41" s="5">
        <f t="shared" si="13"/>
        <v>2551.2071536522967</v>
      </c>
      <c r="BA41" s="5">
        <f t="shared" si="22"/>
        <v>2723.3210436083441</v>
      </c>
      <c r="BB41" s="7">
        <v>293.95999999999998</v>
      </c>
      <c r="BC41" s="7">
        <v>277.51</v>
      </c>
      <c r="BD41" s="7">
        <v>4244.2883609999999</v>
      </c>
    </row>
    <row r="42" spans="1:56" x14ac:dyDescent="0.2">
      <c r="A42" s="2">
        <v>41</v>
      </c>
      <c r="B42" s="4">
        <v>45331</v>
      </c>
      <c r="C42" s="5">
        <v>823.17830657958984</v>
      </c>
      <c r="D42" s="5">
        <v>566.82172139485726</v>
      </c>
      <c r="E42" s="5">
        <v>14.13367868264517</v>
      </c>
      <c r="F42" s="5">
        <v>564.93962605794275</v>
      </c>
      <c r="G42" s="5">
        <v>82.98445590337117</v>
      </c>
      <c r="H42" s="5">
        <v>1.8729796541626149</v>
      </c>
      <c r="I42" s="5">
        <v>229.39057032267209</v>
      </c>
      <c r="J42" s="5">
        <v>814.19531758626306</v>
      </c>
      <c r="K42" s="5">
        <v>120.98073736826581</v>
      </c>
      <c r="L42" s="5">
        <v>4.5702746907869978</v>
      </c>
      <c r="M42" s="5">
        <v>564.36673355102585</v>
      </c>
      <c r="N42" s="5">
        <v>14.052843054135639</v>
      </c>
      <c r="O42" s="5">
        <v>564.93962605794275</v>
      </c>
      <c r="P42" s="5">
        <v>1.9475194215774541</v>
      </c>
      <c r="Q42" s="5">
        <v>10.27677643299103</v>
      </c>
      <c r="R42" s="5">
        <v>2.173320194085437</v>
      </c>
      <c r="S42" s="5">
        <v>15.39606265227</v>
      </c>
      <c r="T42" s="5">
        <v>-93.222817050086121</v>
      </c>
      <c r="U42" s="5">
        <v>35.708187262217223</v>
      </c>
      <c r="V42" s="5">
        <v>458.87681131331539</v>
      </c>
      <c r="W42" s="5">
        <v>232.90662579484891</v>
      </c>
      <c r="X42" s="5">
        <v>248.50518675787509</v>
      </c>
      <c r="Y42" s="5">
        <v>96951.360091507624</v>
      </c>
      <c r="Z42" s="5">
        <v>6.6944263411837754</v>
      </c>
      <c r="AA42" s="5">
        <v>11.493312027439231</v>
      </c>
      <c r="AB42" s="5">
        <v>81.336181640751775</v>
      </c>
      <c r="AC42" s="5">
        <v>-0.20722808979367191</v>
      </c>
      <c r="AD42" s="5">
        <v>442.29712675194349</v>
      </c>
      <c r="AE42" s="5">
        <v>49.705526826944492</v>
      </c>
      <c r="AF42" s="5">
        <v>11.771670390909851</v>
      </c>
      <c r="AG42" s="7">
        <v>93.77</v>
      </c>
      <c r="AH42" s="5">
        <f t="shared" si="1"/>
        <v>3504.2326231002221</v>
      </c>
      <c r="AI42" s="5">
        <f t="shared" si="2"/>
        <v>6.6127592874529366</v>
      </c>
      <c r="AJ42" s="7">
        <v>2.17</v>
      </c>
      <c r="AK42" s="7">
        <v>319.02999999999997</v>
      </c>
      <c r="AL42" s="5">
        <f t="shared" si="14"/>
        <v>3063.6351853082651</v>
      </c>
      <c r="AM42" s="5">
        <f t="shared" si="15"/>
        <v>2956.8829413708067</v>
      </c>
      <c r="AN42" s="5">
        <f t="shared" si="16"/>
        <v>440.59743779195696</v>
      </c>
      <c r="AO42" s="5">
        <f t="shared" si="17"/>
        <v>547.34968172941535</v>
      </c>
      <c r="AP42" s="5">
        <f t="shared" si="18"/>
        <v>80.496518496153641</v>
      </c>
      <c r="AQ42" s="5">
        <v>4.6100000000000003</v>
      </c>
      <c r="AR42" s="5">
        <v>5.2249999999999996</v>
      </c>
      <c r="AS42" s="5">
        <v>31</v>
      </c>
      <c r="AT42" s="5">
        <v>351.49</v>
      </c>
      <c r="AU42" s="5">
        <f t="shared" si="19"/>
        <v>3.531100478468896</v>
      </c>
      <c r="AV42" s="5">
        <f t="shared" si="20"/>
        <v>124.15804761600648</v>
      </c>
      <c r="AW42" s="6">
        <f t="shared" si="21"/>
        <v>70.932619546317682</v>
      </c>
      <c r="AX42" s="7">
        <v>166.51599999999999</v>
      </c>
      <c r="AY42" s="5">
        <f t="shared" si="11"/>
        <v>706741920.720276</v>
      </c>
      <c r="AZ42" s="5">
        <f t="shared" si="13"/>
        <v>2548.3789013820215</v>
      </c>
      <c r="BA42" s="5">
        <f t="shared" si="22"/>
        <v>2717.6910540492927</v>
      </c>
      <c r="BB42" s="7">
        <v>294.02999999999997</v>
      </c>
      <c r="BC42" s="7">
        <v>277.33</v>
      </c>
      <c r="BD42" s="7">
        <v>4244.2883609999999</v>
      </c>
    </row>
    <row r="43" spans="1:56" x14ac:dyDescent="0.2">
      <c r="A43" s="2">
        <v>42</v>
      </c>
      <c r="B43" s="4">
        <v>45332</v>
      </c>
      <c r="C43" s="5">
        <v>830.70678456624353</v>
      </c>
      <c r="D43" s="5">
        <v>566.48609161377044</v>
      </c>
      <c r="E43" s="5">
        <v>14.28956054051717</v>
      </c>
      <c r="F43" s="5">
        <v>565.30741119384766</v>
      </c>
      <c r="G43" s="5">
        <v>71.37501446406047</v>
      </c>
      <c r="H43" s="5">
        <v>1.8347168015908819</v>
      </c>
      <c r="I43" s="5">
        <v>229.85274537404359</v>
      </c>
      <c r="J43" s="5">
        <v>822.06620534261071</v>
      </c>
      <c r="K43" s="5">
        <v>120.10638427734391</v>
      </c>
      <c r="L43" s="5">
        <v>4.6915855010350542</v>
      </c>
      <c r="M43" s="5">
        <v>564.1430002848308</v>
      </c>
      <c r="N43" s="5">
        <v>14.204722364743549</v>
      </c>
      <c r="O43" s="5">
        <v>565.30741119384766</v>
      </c>
      <c r="P43" s="5">
        <v>1.965297813216845</v>
      </c>
      <c r="Q43" s="5">
        <v>10.3555201292038</v>
      </c>
      <c r="R43" s="5">
        <v>2.193334236741062</v>
      </c>
      <c r="S43" s="5">
        <v>15.579132954279579</v>
      </c>
      <c r="T43" s="5">
        <v>-93.211524698469404</v>
      </c>
      <c r="U43" s="5">
        <v>35.736263434092187</v>
      </c>
      <c r="V43" s="5">
        <v>459.08838654787331</v>
      </c>
      <c r="W43" s="5">
        <v>229.723227844452</v>
      </c>
      <c r="X43" s="5">
        <v>259.25728171406467</v>
      </c>
      <c r="Y43" s="5">
        <v>96540.630644205768</v>
      </c>
      <c r="Z43" s="5">
        <v>6.7316850693791279</v>
      </c>
      <c r="AA43" s="5">
        <v>11.607506693202509</v>
      </c>
      <c r="AB43" s="5">
        <v>79.718981366219865</v>
      </c>
      <c r="AC43" s="5">
        <v>-0.20588700137723301</v>
      </c>
      <c r="AD43" s="5">
        <v>446.69168007451231</v>
      </c>
      <c r="AE43" s="5">
        <v>49.713019260009332</v>
      </c>
      <c r="AF43" s="5">
        <v>15.572132475445301</v>
      </c>
      <c r="AG43" s="7">
        <v>93.77</v>
      </c>
      <c r="AH43" s="5">
        <f t="shared" si="1"/>
        <v>3501.8208503505452</v>
      </c>
      <c r="AI43" s="5">
        <f t="shared" si="2"/>
        <v>6.6052367840356467</v>
      </c>
      <c r="AJ43" s="7">
        <v>2.19</v>
      </c>
      <c r="AK43" s="7">
        <v>318.56</v>
      </c>
      <c r="AL43" s="5">
        <f t="shared" si="14"/>
        <v>3062.0401295434335</v>
      </c>
      <c r="AM43" s="5">
        <f t="shared" si="15"/>
        <v>2954.9254381229607</v>
      </c>
      <c r="AN43" s="5">
        <f t="shared" si="16"/>
        <v>439.78072080711172</v>
      </c>
      <c r="AO43" s="5">
        <f t="shared" si="17"/>
        <v>546.89541222758453</v>
      </c>
      <c r="AP43" s="5">
        <f t="shared" si="18"/>
        <v>80.41404461884602</v>
      </c>
      <c r="AQ43" s="5">
        <v>4.668333333333333</v>
      </c>
      <c r="AR43" s="5">
        <v>5.26</v>
      </c>
      <c r="AS43" s="5">
        <v>32</v>
      </c>
      <c r="AT43" s="5">
        <v>353.91166666666663</v>
      </c>
      <c r="AU43" s="5">
        <f t="shared" si="19"/>
        <v>3.4047314578005121</v>
      </c>
      <c r="AV43" s="5">
        <f t="shared" si="20"/>
        <v>123.10617005916524</v>
      </c>
      <c r="AW43" s="6">
        <f t="shared" si="21"/>
        <v>71.698394468721162</v>
      </c>
      <c r="AX43" s="7">
        <v>165.458</v>
      </c>
      <c r="AY43" s="5">
        <f t="shared" si="11"/>
        <v>702251463.63433802</v>
      </c>
      <c r="AZ43" s="5">
        <f t="shared" si="13"/>
        <v>2507.9513718593553</v>
      </c>
      <c r="BA43" s="5">
        <f t="shared" si="22"/>
        <v>2674.5775534385789</v>
      </c>
      <c r="BB43" s="7">
        <v>296.73</v>
      </c>
      <c r="BC43" s="7">
        <v>280.01</v>
      </c>
      <c r="BD43" s="7">
        <v>4244.2883609999999</v>
      </c>
    </row>
    <row r="44" spans="1:56" x14ac:dyDescent="0.2">
      <c r="A44" s="2">
        <v>43</v>
      </c>
      <c r="B44" s="4">
        <v>45333</v>
      </c>
      <c r="C44" s="5">
        <v>824.93105061848962</v>
      </c>
      <c r="D44" s="5">
        <v>567.18600972493516</v>
      </c>
      <c r="E44" s="5">
        <v>14.542803192138679</v>
      </c>
      <c r="F44" s="5">
        <v>565.84886169433594</v>
      </c>
      <c r="G44" s="5">
        <v>71.913340091705322</v>
      </c>
      <c r="H44" s="5">
        <v>0.97559217726729519</v>
      </c>
      <c r="I44" s="5">
        <v>229.41706116994189</v>
      </c>
      <c r="J44" s="5">
        <v>813.35602315266931</v>
      </c>
      <c r="K44" s="5">
        <v>120.3535218238832</v>
      </c>
      <c r="L44" s="5">
        <v>4.8168825308481864</v>
      </c>
      <c r="M44" s="5">
        <v>564.97443389892601</v>
      </c>
      <c r="N44" s="5">
        <v>14.46613335609436</v>
      </c>
      <c r="O44" s="5">
        <v>565.84886169433594</v>
      </c>
      <c r="P44" s="5">
        <v>1.9514108250538511</v>
      </c>
      <c r="Q44" s="5">
        <v>10.26630389690399</v>
      </c>
      <c r="R44" s="5">
        <v>2.1781577567259451</v>
      </c>
      <c r="S44" s="5">
        <v>15.803450862566629</v>
      </c>
      <c r="T44" s="5">
        <v>-93.364911397298172</v>
      </c>
      <c r="U44" s="5">
        <v>35.297219594319657</v>
      </c>
      <c r="V44" s="5">
        <v>451.7315846825731</v>
      </c>
      <c r="W44" s="5">
        <v>212.02892168446149</v>
      </c>
      <c r="X44" s="5">
        <v>269.00035548188163</v>
      </c>
      <c r="Y44" s="5">
        <v>96643.635323213937</v>
      </c>
      <c r="Z44" s="5">
        <v>6.7737217002413912</v>
      </c>
      <c r="AA44" s="5">
        <v>11.7930164272297</v>
      </c>
      <c r="AB44" s="5">
        <v>84.855888744782661</v>
      </c>
      <c r="AC44" s="5">
        <v>-0.22217080211296161</v>
      </c>
      <c r="AD44" s="5">
        <v>453.83065116908051</v>
      </c>
      <c r="AE44" s="5">
        <v>49.709044036848638</v>
      </c>
      <c r="AF44" s="5">
        <v>12.79297350690662</v>
      </c>
      <c r="AG44" s="7">
        <v>93.74</v>
      </c>
      <c r="AH44" s="5">
        <f t="shared" si="1"/>
        <v>3501.1926036230507</v>
      </c>
      <c r="AI44" s="5">
        <f t="shared" si="2"/>
        <v>6.5970498411872036</v>
      </c>
      <c r="AJ44" s="7">
        <v>2.1800000000000002</v>
      </c>
      <c r="AK44" s="7">
        <v>318.63</v>
      </c>
      <c r="AL44" s="5">
        <f t="shared" si="14"/>
        <v>3062.4578604412895</v>
      </c>
      <c r="AM44" s="5">
        <f t="shared" si="15"/>
        <v>2949.3881930453394</v>
      </c>
      <c r="AN44" s="5">
        <f t="shared" si="16"/>
        <v>438.73474318176113</v>
      </c>
      <c r="AO44" s="5">
        <f t="shared" si="17"/>
        <v>551.80441057771122</v>
      </c>
      <c r="AP44" s="5">
        <f t="shared" si="18"/>
        <v>79.509104090420038</v>
      </c>
      <c r="AQ44" s="5">
        <v>4.8149999999999995</v>
      </c>
      <c r="AR44" s="5">
        <v>5.3650000000000002</v>
      </c>
      <c r="AS44" s="5">
        <v>33</v>
      </c>
      <c r="AT44" s="5">
        <v>355.03833333333336</v>
      </c>
      <c r="AU44" s="5">
        <f t="shared" si="19"/>
        <v>3.1863533955584211</v>
      </c>
      <c r="AV44" s="5">
        <f t="shared" si="20"/>
        <v>123.13691373265837</v>
      </c>
      <c r="AW44" s="6">
        <f t="shared" si="21"/>
        <v>72.010501731369956</v>
      </c>
      <c r="AX44" s="7">
        <v>163.92099999999999</v>
      </c>
      <c r="AY44" s="5">
        <f t="shared" si="11"/>
        <v>695727992.42348099</v>
      </c>
      <c r="AZ44" s="5">
        <f t="shared" si="13"/>
        <v>2495.5270720738945</v>
      </c>
      <c r="BA44" s="5">
        <f t="shared" si="22"/>
        <v>2662.1795093598193</v>
      </c>
      <c r="BB44" s="7">
        <v>295.07</v>
      </c>
      <c r="BC44" s="7">
        <v>278.79000000000002</v>
      </c>
      <c r="BD44" s="7">
        <v>4244.2883609999999</v>
      </c>
    </row>
    <row r="45" spans="1:56" x14ac:dyDescent="0.2">
      <c r="A45" s="2">
        <v>44</v>
      </c>
      <c r="B45" s="4">
        <v>45334</v>
      </c>
      <c r="C45" s="5">
        <v>831.51483408610022</v>
      </c>
      <c r="D45" s="5">
        <v>567.01684061686194</v>
      </c>
      <c r="E45" s="5">
        <v>14.374833122889211</v>
      </c>
      <c r="F45" s="5">
        <v>565.88112131754554</v>
      </c>
      <c r="G45" s="5">
        <v>71.224312623341874</v>
      </c>
      <c r="H45" s="5">
        <v>2.1558026571134778</v>
      </c>
      <c r="I45" s="5">
        <v>229.80545647938999</v>
      </c>
      <c r="J45" s="5">
        <v>821.41380055745446</v>
      </c>
      <c r="K45" s="5">
        <v>120.1809629334345</v>
      </c>
      <c r="L45" s="5">
        <v>4.8170190652211504</v>
      </c>
      <c r="M45" s="5">
        <v>564.72562662760413</v>
      </c>
      <c r="N45" s="5">
        <v>14.294052879015601</v>
      </c>
      <c r="O45" s="5">
        <v>565.88112131754554</v>
      </c>
      <c r="P45" s="5">
        <v>1.96685436864694</v>
      </c>
      <c r="Q45" s="5">
        <v>10.364418903986611</v>
      </c>
      <c r="R45" s="5">
        <v>2.1951884080966289</v>
      </c>
      <c r="S45" s="5">
        <v>15.65836950143178</v>
      </c>
      <c r="T45" s="5">
        <v>-93.366037315792525</v>
      </c>
      <c r="U45" s="5">
        <v>35.274796168009424</v>
      </c>
      <c r="V45" s="5">
        <v>449.7843869719805</v>
      </c>
      <c r="W45" s="5">
        <v>190.227509969197</v>
      </c>
      <c r="X45" s="5">
        <v>278.44193956698871</v>
      </c>
      <c r="Y45" s="5">
        <v>97812.602647305452</v>
      </c>
      <c r="Z45" s="5">
        <v>6.6260023258627774</v>
      </c>
      <c r="AA45" s="5">
        <v>11.872417039210911</v>
      </c>
      <c r="AB45" s="5">
        <v>93.792339849443394</v>
      </c>
      <c r="AC45" s="5">
        <v>-0.2426490516518354</v>
      </c>
      <c r="AD45" s="5">
        <v>456.88622491995358</v>
      </c>
      <c r="AE45" s="5">
        <v>49.704208716998238</v>
      </c>
      <c r="AF45" s="5">
        <v>14.727484365932471</v>
      </c>
      <c r="AG45" s="7">
        <v>93.76</v>
      </c>
      <c r="AH45" s="5">
        <f t="shared" si="1"/>
        <v>3502.3892875542265</v>
      </c>
      <c r="AI45" s="5">
        <f t="shared" si="2"/>
        <v>6.603392790786808</v>
      </c>
      <c r="AJ45" s="7">
        <v>2.2000000000000002</v>
      </c>
      <c r="AK45" s="7">
        <v>319.12</v>
      </c>
      <c r="AL45" s="5">
        <f t="shared" si="14"/>
        <v>3063.0761298829434</v>
      </c>
      <c r="AM45" s="5">
        <f t="shared" si="15"/>
        <v>2954.9870974878509</v>
      </c>
      <c r="AN45" s="5">
        <f t="shared" si="16"/>
        <v>439.31315767128308</v>
      </c>
      <c r="AO45" s="5">
        <f t="shared" si="17"/>
        <v>547.40219006637562</v>
      </c>
      <c r="AP45" s="5">
        <f t="shared" si="18"/>
        <v>80.254183421884719</v>
      </c>
      <c r="AQ45" s="5">
        <v>4.8066666666666666</v>
      </c>
      <c r="AR45" s="5">
        <v>5.2850000000000001</v>
      </c>
      <c r="AS45" s="5">
        <v>31</v>
      </c>
      <c r="AT45" s="5">
        <v>354.5216666666667</v>
      </c>
      <c r="AU45" s="5">
        <f t="shared" si="19"/>
        <v>2.7569644572526428</v>
      </c>
      <c r="AV45" s="5">
        <f t="shared" si="20"/>
        <v>122.63965038414494</v>
      </c>
      <c r="AW45" s="6">
        <f t="shared" si="21"/>
        <v>71.674339054835613</v>
      </c>
      <c r="AX45" s="7">
        <v>164.946</v>
      </c>
      <c r="AY45" s="5">
        <f t="shared" si="11"/>
        <v>700078387.99350595</v>
      </c>
      <c r="AZ45" s="5">
        <f t="shared" si="13"/>
        <v>2486.1621080063424</v>
      </c>
      <c r="BA45" s="5">
        <f t="shared" si="22"/>
        <v>2651.623408709836</v>
      </c>
      <c r="BB45" s="7">
        <v>297.60000000000002</v>
      </c>
      <c r="BC45" s="7">
        <v>281.58999999999997</v>
      </c>
      <c r="BD45" s="7">
        <v>4244.2883609999999</v>
      </c>
    </row>
    <row r="46" spans="1:56" x14ac:dyDescent="0.2">
      <c r="A46" s="2">
        <v>45</v>
      </c>
      <c r="B46" s="4">
        <v>45335</v>
      </c>
      <c r="C46" s="5">
        <v>825.54145304361975</v>
      </c>
      <c r="D46" s="5">
        <v>566.86202494303461</v>
      </c>
      <c r="E46" s="5">
        <v>14.18766385714213</v>
      </c>
      <c r="F46" s="5">
        <v>566.37247212727868</v>
      </c>
      <c r="G46" s="5">
        <v>81.57433032989502</v>
      </c>
      <c r="H46" s="5">
        <v>2.877381092434613</v>
      </c>
      <c r="I46" s="5">
        <v>229.4501638412471</v>
      </c>
      <c r="J46" s="5">
        <v>813.46426391601562</v>
      </c>
      <c r="K46" s="5">
        <v>121.17375029457951</v>
      </c>
      <c r="L46" s="5">
        <v>4.9298733870188398</v>
      </c>
      <c r="M46" s="5">
        <v>564.62718200683605</v>
      </c>
      <c r="N46" s="5">
        <v>14.10543437798818</v>
      </c>
      <c r="O46" s="5">
        <v>566.37247212727868</v>
      </c>
      <c r="P46" s="5">
        <v>1.953333626190821</v>
      </c>
      <c r="Q46" s="5">
        <v>10.260581215222681</v>
      </c>
      <c r="R46" s="5">
        <v>2.179638013243673</v>
      </c>
      <c r="S46" s="5">
        <v>15.44374783833822</v>
      </c>
      <c r="T46" s="5">
        <v>-93.316199620564802</v>
      </c>
      <c r="U46" s="5">
        <v>35.405523538589478</v>
      </c>
      <c r="V46" s="5">
        <v>440.0749914970458</v>
      </c>
      <c r="W46" s="5">
        <v>226.48145678886459</v>
      </c>
      <c r="X46" s="5">
        <v>288.1140507777618</v>
      </c>
      <c r="Y46" s="5">
        <v>97282.624871595835</v>
      </c>
      <c r="Z46" s="5">
        <v>6.717426800519001</v>
      </c>
      <c r="AA46" s="5">
        <v>11.93807631337978</v>
      </c>
      <c r="AB46" s="5">
        <v>95.082384465917698</v>
      </c>
      <c r="AC46" s="5">
        <v>-0.2481985302396606</v>
      </c>
      <c r="AD46" s="5">
        <v>459.41299076779359</v>
      </c>
      <c r="AE46" s="5">
        <v>49.707907042284432</v>
      </c>
      <c r="AF46" s="5">
        <v>15.461965889891649</v>
      </c>
      <c r="AG46" s="7">
        <v>93.679999999999993</v>
      </c>
      <c r="AH46" s="5">
        <f t="shared" si="1"/>
        <v>3503.8112070123457</v>
      </c>
      <c r="AI46" s="5">
        <f t="shared" si="2"/>
        <v>6.6106405132134913</v>
      </c>
      <c r="AJ46" s="7">
        <v>2.1800000000000002</v>
      </c>
      <c r="AK46" s="7">
        <v>319.55</v>
      </c>
      <c r="AL46" s="5">
        <f t="shared" si="14"/>
        <v>3064.5777431980127</v>
      </c>
      <c r="AM46" s="5">
        <f t="shared" si="15"/>
        <v>2956.8052614994358</v>
      </c>
      <c r="AN46" s="5">
        <f t="shared" si="16"/>
        <v>439.23346381433294</v>
      </c>
      <c r="AO46" s="5">
        <f t="shared" si="17"/>
        <v>547.00594551290988</v>
      </c>
      <c r="AP46" s="5">
        <f t="shared" si="18"/>
        <v>80.297749488349311</v>
      </c>
      <c r="AQ46" s="5">
        <v>4.9833333333333334</v>
      </c>
      <c r="AR46" s="5">
        <v>5.3100000000000005</v>
      </c>
      <c r="AS46" s="5">
        <v>29</v>
      </c>
      <c r="AT46" s="5">
        <v>355.185</v>
      </c>
      <c r="AU46" s="5">
        <f t="shared" si="19"/>
        <v>1.8858242463117409</v>
      </c>
      <c r="AV46" s="5">
        <f t="shared" si="20"/>
        <v>122.91198522636952</v>
      </c>
      <c r="AW46" s="6">
        <f t="shared" si="21"/>
        <v>71.208981030283567</v>
      </c>
      <c r="AX46" s="7">
        <v>168.852</v>
      </c>
      <c r="AY46" s="5">
        <f t="shared" si="11"/>
        <v>716656578.33157206</v>
      </c>
      <c r="AZ46" s="5">
        <f t="shared" si="13"/>
        <v>2568.7536411038823</v>
      </c>
      <c r="BA46" s="5">
        <f t="shared" si="22"/>
        <v>2742.051282134802</v>
      </c>
      <c r="BB46" s="7">
        <v>294.8</v>
      </c>
      <c r="BC46" s="7">
        <v>278.99</v>
      </c>
      <c r="BD46" s="7">
        <v>4244.2883609999999</v>
      </c>
    </row>
    <row r="47" spans="1:56" x14ac:dyDescent="0.2">
      <c r="A47" s="2">
        <v>46</v>
      </c>
      <c r="B47" s="4">
        <v>45336</v>
      </c>
      <c r="C47" s="5">
        <v>820.26282501220703</v>
      </c>
      <c r="D47" s="5">
        <v>567.80537541707361</v>
      </c>
      <c r="E47" s="5">
        <v>14.068505374590559</v>
      </c>
      <c r="F47" s="5">
        <v>566.18991343180335</v>
      </c>
      <c r="G47" s="5">
        <v>83.548491636912033</v>
      </c>
      <c r="H47" s="5">
        <v>2.2751652417840278</v>
      </c>
      <c r="I47" s="5">
        <v>229.13988208770741</v>
      </c>
      <c r="J47" s="5">
        <v>812.63505554199219</v>
      </c>
      <c r="K47" s="5">
        <v>121.32343403498329</v>
      </c>
      <c r="L47" s="5">
        <v>4.8457045952479048</v>
      </c>
      <c r="M47" s="5">
        <v>565.37896474202523</v>
      </c>
      <c r="N47" s="5">
        <v>13.98634568850199</v>
      </c>
      <c r="O47" s="5">
        <v>566.18991343180335</v>
      </c>
      <c r="P47" s="5">
        <v>1.940362314383189</v>
      </c>
      <c r="Q47" s="5">
        <v>10.22627385457357</v>
      </c>
      <c r="R47" s="5">
        <v>2.1660943925380689</v>
      </c>
      <c r="S47" s="5">
        <v>15.33105206489563</v>
      </c>
      <c r="T47" s="5">
        <v>-93.292886945936445</v>
      </c>
      <c r="U47" s="5">
        <v>35.462576866149909</v>
      </c>
      <c r="V47" s="5">
        <v>446.95862404217843</v>
      </c>
      <c r="W47" s="5">
        <v>203.95596262084501</v>
      </c>
      <c r="X47" s="5">
        <v>296.96288975081438</v>
      </c>
      <c r="Y47" s="5">
        <v>97533.465934579013</v>
      </c>
      <c r="Z47" s="5">
        <v>6.6720981974604641</v>
      </c>
      <c r="AA47" s="5">
        <v>11.91938087220276</v>
      </c>
      <c r="AB47" s="5">
        <v>94.123596574751616</v>
      </c>
      <c r="AC47" s="5">
        <v>-0.24395458062999081</v>
      </c>
      <c r="AD47" s="5">
        <v>458.69353410497871</v>
      </c>
      <c r="AE47" s="5">
        <v>49.70642262646637</v>
      </c>
      <c r="AF47" s="5">
        <v>15.425695292806351</v>
      </c>
      <c r="AG47" s="7">
        <v>93.679999999999993</v>
      </c>
      <c r="AH47" s="5">
        <f t="shared" si="1"/>
        <v>3507.4596179706946</v>
      </c>
      <c r="AI47" s="5">
        <f t="shared" si="2"/>
        <v>6.6185604801757796</v>
      </c>
      <c r="AJ47" s="7">
        <v>2.17</v>
      </c>
      <c r="AK47" s="7">
        <v>319.92</v>
      </c>
      <c r="AL47" s="5">
        <f t="shared" si="14"/>
        <v>3065.6837032390504</v>
      </c>
      <c r="AM47" s="5">
        <f t="shared" si="15"/>
        <v>2960.0607091185639</v>
      </c>
      <c r="AN47" s="5">
        <f t="shared" si="16"/>
        <v>441.77591473164421</v>
      </c>
      <c r="AO47" s="5">
        <f t="shared" si="17"/>
        <v>547.39890885213072</v>
      </c>
      <c r="AP47" s="5">
        <f t="shared" si="18"/>
        <v>80.704566192509802</v>
      </c>
      <c r="AQ47" s="5">
        <v>4.8683333333333332</v>
      </c>
      <c r="AR47" s="5">
        <v>5.2649999999999997</v>
      </c>
      <c r="AS47" s="5">
        <v>31</v>
      </c>
      <c r="AT47" s="5">
        <v>356.2283333333333</v>
      </c>
      <c r="AU47" s="5">
        <f t="shared" si="19"/>
        <v>2.2833386632555159</v>
      </c>
      <c r="AV47" s="5">
        <f t="shared" si="20"/>
        <v>123.38582392628416</v>
      </c>
      <c r="AW47" s="6">
        <f t="shared" si="21"/>
        <v>71.593549990124629</v>
      </c>
      <c r="AX47" s="7">
        <v>165.28200000000001</v>
      </c>
      <c r="AY47" s="5">
        <f t="shared" si="11"/>
        <v>701504468.88280201</v>
      </c>
      <c r="AZ47" s="5">
        <f t="shared" si="13"/>
        <v>2526.5783140025283</v>
      </c>
      <c r="BA47" s="5">
        <f t="shared" si="22"/>
        <v>2697.03065115556</v>
      </c>
      <c r="BB47" s="7">
        <v>293.26</v>
      </c>
      <c r="BC47" s="7">
        <v>277.64999999999998</v>
      </c>
      <c r="BD47" s="7">
        <v>4244.2883609999999</v>
      </c>
    </row>
    <row r="48" spans="1:56" x14ac:dyDescent="0.2">
      <c r="A48" s="2">
        <v>47</v>
      </c>
      <c r="B48" s="4">
        <v>45337</v>
      </c>
      <c r="C48" s="5">
        <v>828.69818878173828</v>
      </c>
      <c r="D48" s="5">
        <v>567.1278559366865</v>
      </c>
      <c r="E48" s="5">
        <v>14.204049611091611</v>
      </c>
      <c r="F48" s="5">
        <v>565.26539866129554</v>
      </c>
      <c r="G48" s="5">
        <v>71.349780241648361</v>
      </c>
      <c r="H48" s="5">
        <v>1.3998728547386079</v>
      </c>
      <c r="I48" s="5">
        <v>229.64274279276529</v>
      </c>
      <c r="J48" s="5">
        <v>817.82772827148438</v>
      </c>
      <c r="K48" s="5">
        <v>121.8349458376567</v>
      </c>
      <c r="L48" s="5">
        <v>4.7508315046628313</v>
      </c>
      <c r="M48" s="5">
        <v>564.71310679117835</v>
      </c>
      <c r="N48" s="5">
        <v>14.1200270652771</v>
      </c>
      <c r="O48" s="5">
        <v>565.26539866129554</v>
      </c>
      <c r="P48" s="5">
        <v>1.961620057622592</v>
      </c>
      <c r="Q48" s="5">
        <v>10.348080714543659</v>
      </c>
      <c r="R48" s="5">
        <v>2.1880617936452209</v>
      </c>
      <c r="S48" s="5">
        <v>15.5107053120931</v>
      </c>
      <c r="T48" s="5">
        <v>-93.026116847991929</v>
      </c>
      <c r="U48" s="5">
        <v>36.182674646377571</v>
      </c>
      <c r="V48" s="5">
        <v>464.52926261661389</v>
      </c>
      <c r="W48" s="5">
        <v>187.73986046808639</v>
      </c>
      <c r="X48" s="5">
        <v>305.50094780342579</v>
      </c>
      <c r="Y48" s="5">
        <v>98166.392025411085</v>
      </c>
      <c r="Z48" s="5">
        <v>6.5657272122920709</v>
      </c>
      <c r="AA48" s="5">
        <v>11.755181853218</v>
      </c>
      <c r="AB48" s="5">
        <v>97.036501822714015</v>
      </c>
      <c r="AC48" s="5">
        <v>-0.24405113931927741</v>
      </c>
      <c r="AD48" s="5">
        <v>452.37466325738842</v>
      </c>
      <c r="AE48" s="5">
        <v>49.699303638728892</v>
      </c>
      <c r="AF48" s="5">
        <v>13.997464113290951</v>
      </c>
      <c r="AG48" s="7">
        <v>93.76</v>
      </c>
      <c r="AH48" s="5">
        <f t="shared" si="1"/>
        <v>3504.3525556391073</v>
      </c>
      <c r="AI48" s="5">
        <f t="shared" si="2"/>
        <v>6.6107953367816519</v>
      </c>
      <c r="AJ48" s="7">
        <v>2.19</v>
      </c>
      <c r="AK48" s="7">
        <v>319.29000000000002</v>
      </c>
      <c r="AL48" s="5">
        <f t="shared" si="14"/>
        <v>3063.7236916209749</v>
      </c>
      <c r="AM48" s="5">
        <f t="shared" si="15"/>
        <v>2957.967325845601</v>
      </c>
      <c r="AN48" s="5">
        <f t="shared" si="16"/>
        <v>440.62886401813239</v>
      </c>
      <c r="AO48" s="5">
        <f t="shared" si="17"/>
        <v>546.38522979350637</v>
      </c>
      <c r="AP48" s="5">
        <f t="shared" si="18"/>
        <v>80.644358593781504</v>
      </c>
      <c r="AQ48" s="5">
        <v>4.7733333333333343</v>
      </c>
      <c r="AR48" s="5">
        <v>5.2050000000000001</v>
      </c>
      <c r="AS48" s="5">
        <v>33</v>
      </c>
      <c r="AT48" s="5">
        <v>357.10166666666669</v>
      </c>
      <c r="AU48" s="5">
        <f t="shared" si="19"/>
        <v>2.4753106084740311</v>
      </c>
      <c r="AV48" s="5">
        <f t="shared" si="20"/>
        <v>124.03388667600838</v>
      </c>
      <c r="AW48" s="6">
        <f t="shared" si="21"/>
        <v>71.911935038077033</v>
      </c>
      <c r="AX48" s="7">
        <v>166.83500000000001</v>
      </c>
      <c r="AY48" s="5">
        <f t="shared" si="11"/>
        <v>708095848.70743501</v>
      </c>
      <c r="AZ48" s="5">
        <f t="shared" si="13"/>
        <v>2530.7214035290745</v>
      </c>
      <c r="BA48" s="5">
        <f t="shared" si="22"/>
        <v>2699.1482546171865</v>
      </c>
      <c r="BB48" s="7">
        <v>295.58999999999997</v>
      </c>
      <c r="BC48" s="7">
        <v>279.8</v>
      </c>
      <c r="BD48" s="7">
        <v>4244.2883609999999</v>
      </c>
    </row>
    <row r="49" spans="1:56" x14ac:dyDescent="0.2">
      <c r="A49" s="2">
        <v>48</v>
      </c>
      <c r="B49" s="4">
        <v>45338</v>
      </c>
      <c r="C49" s="5">
        <v>821.52436319986975</v>
      </c>
      <c r="D49" s="5">
        <v>567.43037160237702</v>
      </c>
      <c r="E49" s="5">
        <v>14.127718035380051</v>
      </c>
      <c r="F49" s="5">
        <v>566.503184000651</v>
      </c>
      <c r="G49" s="5">
        <v>73.74852069218953</v>
      </c>
      <c r="H49" s="5">
        <v>1.8114688843124229</v>
      </c>
      <c r="I49" s="5">
        <v>229.27326933542869</v>
      </c>
      <c r="J49" s="5">
        <v>808.80553690592444</v>
      </c>
      <c r="K49" s="5">
        <v>121.0890880690681</v>
      </c>
      <c r="L49" s="5">
        <v>4.7869180838267011</v>
      </c>
      <c r="M49" s="5">
        <v>564.9932263692225</v>
      </c>
      <c r="N49" s="5">
        <v>14.0476926167806</v>
      </c>
      <c r="O49" s="5">
        <v>566.503184000651</v>
      </c>
      <c r="P49" s="5">
        <v>1.944253702958425</v>
      </c>
      <c r="Q49" s="5">
        <v>10.246245821317039</v>
      </c>
      <c r="R49" s="5">
        <v>2.169260919094083</v>
      </c>
      <c r="S49" s="5">
        <v>15.4088583389918</v>
      </c>
      <c r="T49" s="5">
        <v>-93.185893800523544</v>
      </c>
      <c r="U49" s="5">
        <v>35.707358757654823</v>
      </c>
      <c r="V49" s="5">
        <v>431.98555674539779</v>
      </c>
      <c r="W49" s="5">
        <v>203.94789285324691</v>
      </c>
      <c r="X49" s="5">
        <v>313.84064698669857</v>
      </c>
      <c r="Y49" s="5">
        <v>98054.236828973793</v>
      </c>
      <c r="Z49" s="5">
        <v>6.6369407289962554</v>
      </c>
      <c r="AA49" s="5">
        <v>11.46738189699315</v>
      </c>
      <c r="AB49" s="5">
        <v>99.080399346191868</v>
      </c>
      <c r="AC49" s="5">
        <v>-0.25441338980469769</v>
      </c>
      <c r="AD49" s="5">
        <v>441.29925754198791</v>
      </c>
      <c r="AE49" s="5">
        <v>49.706935683057928</v>
      </c>
      <c r="AF49" s="5">
        <v>15.20516882962227</v>
      </c>
      <c r="AG49" s="7">
        <v>93.72</v>
      </c>
      <c r="AH49" s="5">
        <f t="shared" si="1"/>
        <v>3505.895224038311</v>
      </c>
      <c r="AI49" s="5">
        <f t="shared" si="2"/>
        <v>6.6149169075384409</v>
      </c>
      <c r="AJ49" s="7">
        <v>2.17</v>
      </c>
      <c r="AK49" s="7">
        <v>319.63</v>
      </c>
      <c r="AL49" s="5">
        <f t="shared" si="14"/>
        <v>3065.0164040491272</v>
      </c>
      <c r="AM49" s="5">
        <f t="shared" si="15"/>
        <v>2958.0639652355867</v>
      </c>
      <c r="AN49" s="5">
        <f t="shared" si="16"/>
        <v>440.87881998918374</v>
      </c>
      <c r="AO49" s="5">
        <f t="shared" si="17"/>
        <v>547.83125880272428</v>
      </c>
      <c r="AP49" s="5">
        <f t="shared" si="18"/>
        <v>80.477120081230254</v>
      </c>
      <c r="AQ49" s="5">
        <v>4.713333333333332</v>
      </c>
      <c r="AR49" s="5">
        <v>5.165</v>
      </c>
      <c r="AS49" s="5">
        <v>32</v>
      </c>
      <c r="AT49" s="5">
        <v>355.2283333333333</v>
      </c>
      <c r="AU49" s="5">
        <f t="shared" si="19"/>
        <v>2.5834127740705513</v>
      </c>
      <c r="AV49" s="5">
        <f t="shared" si="20"/>
        <v>123.39062695054737</v>
      </c>
      <c r="AW49" s="6">
        <f t="shared" si="21"/>
        <v>71.725675775984769</v>
      </c>
      <c r="AX49" s="7">
        <v>166.03299999999999</v>
      </c>
      <c r="AY49" s="5">
        <f t="shared" si="11"/>
        <v>704691929.44191289</v>
      </c>
      <c r="AZ49" s="5">
        <f t="shared" si="13"/>
        <v>2537.7842460454945</v>
      </c>
      <c r="BA49" s="5">
        <f t="shared" si="22"/>
        <v>2707.8363700869554</v>
      </c>
      <c r="BB49" s="7">
        <v>293.27</v>
      </c>
      <c r="BC49" s="7">
        <v>277.68</v>
      </c>
      <c r="BD49" s="7">
        <v>4244.2883609999999</v>
      </c>
    </row>
    <row r="50" spans="1:56" x14ac:dyDescent="0.2">
      <c r="A50" s="2">
        <v>49</v>
      </c>
      <c r="B50" s="4">
        <v>45339</v>
      </c>
      <c r="C50" s="5">
        <v>831.09334564208984</v>
      </c>
      <c r="D50" s="5">
        <v>567.11710103352868</v>
      </c>
      <c r="E50" s="5">
        <v>14.3238162279129</v>
      </c>
      <c r="F50" s="5">
        <v>566.90141296386719</v>
      </c>
      <c r="G50" s="5">
        <v>91.620781103769943</v>
      </c>
      <c r="H50" s="5">
        <v>3.534071885825445</v>
      </c>
      <c r="I50" s="5">
        <v>229.72317886352531</v>
      </c>
      <c r="J50" s="5">
        <v>818.30436960856116</v>
      </c>
      <c r="K50" s="5">
        <v>123.6874233881633</v>
      </c>
      <c r="L50" s="5">
        <v>4.59319810072581</v>
      </c>
      <c r="M50" s="5">
        <v>564.8339207967125</v>
      </c>
      <c r="N50" s="5">
        <v>14.243121465047199</v>
      </c>
      <c r="O50" s="5">
        <v>566.90141296386719</v>
      </c>
      <c r="P50" s="5">
        <v>1.9666865120331449</v>
      </c>
      <c r="Q50" s="5">
        <v>10.327164252599079</v>
      </c>
      <c r="R50" s="5">
        <v>2.1940285861492139</v>
      </c>
      <c r="S50" s="5">
        <v>15.57062923908234</v>
      </c>
      <c r="T50" s="5">
        <v>-93.2117234865824</v>
      </c>
      <c r="U50" s="5">
        <v>35.568030516306557</v>
      </c>
      <c r="V50" s="5">
        <v>444.84764205158439</v>
      </c>
      <c r="W50" s="5">
        <v>200.09514632932911</v>
      </c>
      <c r="X50" s="5">
        <v>321.80107398492748</v>
      </c>
      <c r="Y50" s="5">
        <v>99094.605946914526</v>
      </c>
      <c r="Z50" s="5">
        <v>6.4671725446055248</v>
      </c>
      <c r="AA50" s="5">
        <v>11.66535787440271</v>
      </c>
      <c r="AB50" s="5">
        <v>102.7852329724093</v>
      </c>
      <c r="AC50" s="5">
        <v>-0.26549997390839658</v>
      </c>
      <c r="AD50" s="5">
        <v>448.91796708063879</v>
      </c>
      <c r="AE50" s="5">
        <v>49.703454861320871</v>
      </c>
      <c r="AF50" s="5">
        <v>17.781677327741789</v>
      </c>
      <c r="AG50" s="7">
        <v>93.67</v>
      </c>
      <c r="AH50" s="5">
        <f t="shared" si="1"/>
        <v>3503.1535784664648</v>
      </c>
      <c r="AI50" s="5">
        <f t="shared" si="2"/>
        <v>6.6058088124268908</v>
      </c>
      <c r="AJ50" s="7">
        <v>2.19</v>
      </c>
      <c r="AK50" s="7">
        <v>319.99</v>
      </c>
      <c r="AL50" s="5">
        <f t="shared" si="14"/>
        <v>3065.3369176124997</v>
      </c>
      <c r="AM50" s="5">
        <f t="shared" si="15"/>
        <v>2955.2381621522536</v>
      </c>
      <c r="AN50" s="5">
        <f t="shared" si="16"/>
        <v>437.816660853965</v>
      </c>
      <c r="AO50" s="5">
        <f t="shared" si="17"/>
        <v>547.91541631421114</v>
      </c>
      <c r="AP50" s="5">
        <f t="shared" si="18"/>
        <v>79.905884707374568</v>
      </c>
      <c r="AQ50" s="5">
        <v>4.5716666666666663</v>
      </c>
      <c r="AR50" s="5">
        <v>4.9800000000000004</v>
      </c>
      <c r="AS50" s="5">
        <v>31</v>
      </c>
      <c r="AT50" s="5">
        <v>358.02833333333336</v>
      </c>
      <c r="AU50" s="5">
        <f t="shared" si="19"/>
        <v>2.30841708542714</v>
      </c>
      <c r="AV50" s="5">
        <f t="shared" si="20"/>
        <v>125.82703570569785</v>
      </c>
      <c r="AW50" s="6">
        <f t="shared" si="21"/>
        <v>71.003418957878921</v>
      </c>
      <c r="AX50" s="7">
        <v>170.84</v>
      </c>
      <c r="AY50" s="5">
        <f t="shared" si="11"/>
        <v>725094223.59324002</v>
      </c>
      <c r="AZ50" s="5">
        <f t="shared" si="13"/>
        <v>2583.1643163278945</v>
      </c>
      <c r="BA50" s="5">
        <f t="shared" si="22"/>
        <v>2757.7285324307618</v>
      </c>
      <c r="BB50" s="7">
        <v>296.49</v>
      </c>
      <c r="BC50" s="7">
        <v>280.7</v>
      </c>
      <c r="BD50" s="7">
        <v>4244.2883609999999</v>
      </c>
    </row>
    <row r="51" spans="1:56" x14ac:dyDescent="0.2">
      <c r="A51" s="2">
        <v>50</v>
      </c>
      <c r="B51" s="4">
        <v>45340</v>
      </c>
      <c r="C51" s="5">
        <v>825.09673817952478</v>
      </c>
      <c r="D51" s="5">
        <v>566.93542226155671</v>
      </c>
      <c r="E51" s="5">
        <v>14.1340661128362</v>
      </c>
      <c r="F51" s="5">
        <v>566.76898193359375</v>
      </c>
      <c r="G51" s="5">
        <v>87.597174167633057</v>
      </c>
      <c r="H51" s="5">
        <v>2.9970007234514919</v>
      </c>
      <c r="I51" s="5">
        <v>229.3792282740273</v>
      </c>
      <c r="J51" s="5">
        <v>813.75293223063147</v>
      </c>
      <c r="K51" s="5">
        <v>123.3814308378432</v>
      </c>
      <c r="L51" s="5">
        <v>4.6803472836812334</v>
      </c>
      <c r="M51" s="5">
        <v>564.78469340006541</v>
      </c>
      <c r="N51" s="5">
        <v>14.05038233598073</v>
      </c>
      <c r="O51" s="5">
        <v>566.76898193359375</v>
      </c>
      <c r="P51" s="5">
        <v>1.952234879136086</v>
      </c>
      <c r="Q51" s="5">
        <v>10.2760896285375</v>
      </c>
      <c r="R51" s="5">
        <v>2.1780814578135779</v>
      </c>
      <c r="S51" s="5">
        <v>15.39888449509939</v>
      </c>
      <c r="T51" s="5">
        <v>-93.114549107021773</v>
      </c>
      <c r="U51" s="5">
        <v>35.867768446604408</v>
      </c>
      <c r="V51" s="5">
        <v>443.24991348574298</v>
      </c>
      <c r="W51" s="5">
        <v>201.08453555597441</v>
      </c>
      <c r="X51" s="5">
        <v>329.00842567053252</v>
      </c>
      <c r="Y51" s="5">
        <v>98277.387760150072</v>
      </c>
      <c r="Z51" s="5">
        <v>6.5479093373208697</v>
      </c>
      <c r="AA51" s="5">
        <v>11.8521885694873</v>
      </c>
      <c r="AB51" s="5">
        <v>98.927339888321526</v>
      </c>
      <c r="AC51" s="5">
        <v>-0.25104655631232531</v>
      </c>
      <c r="AD51" s="5">
        <v>456.10777271957949</v>
      </c>
      <c r="AE51" s="5">
        <v>49.699920576427907</v>
      </c>
      <c r="AF51" s="5">
        <v>17.2724263690511</v>
      </c>
      <c r="AG51" s="7">
        <v>93.66</v>
      </c>
      <c r="AH51" s="5">
        <f t="shared" si="1"/>
        <v>3504.5286231022774</v>
      </c>
      <c r="AI51" s="5">
        <f t="shared" si="2"/>
        <v>6.6131000270420239</v>
      </c>
      <c r="AJ51" s="7">
        <v>2.1800000000000002</v>
      </c>
      <c r="AK51" s="7">
        <v>319.83999999999997</v>
      </c>
      <c r="AL51" s="5">
        <f t="shared" si="14"/>
        <v>3065.2455682746281</v>
      </c>
      <c r="AM51" s="5">
        <f t="shared" si="15"/>
        <v>2958.1518918422275</v>
      </c>
      <c r="AN51" s="5">
        <f t="shared" si="16"/>
        <v>439.28305482764927</v>
      </c>
      <c r="AO51" s="5">
        <f t="shared" si="17"/>
        <v>546.37673126004984</v>
      </c>
      <c r="AP51" s="5">
        <f t="shared" si="18"/>
        <v>80.399297718000923</v>
      </c>
      <c r="AQ51" s="5">
        <v>4.7383333333333333</v>
      </c>
      <c r="AR51" s="5">
        <v>5.2149999999999999</v>
      </c>
      <c r="AS51" s="5">
        <v>33</v>
      </c>
      <c r="AT51" s="5">
        <v>359.16666666666669</v>
      </c>
      <c r="AU51" s="5">
        <f t="shared" si="19"/>
        <v>2.7350972266496649</v>
      </c>
      <c r="AV51" s="5">
        <f t="shared" si="20"/>
        <v>125.85345084609533</v>
      </c>
      <c r="AW51" s="6">
        <f t="shared" si="21"/>
        <v>71.531900609270721</v>
      </c>
      <c r="AX51" s="7">
        <v>166.54400000000001</v>
      </c>
      <c r="AY51" s="5">
        <f t="shared" si="11"/>
        <v>706860760.794384</v>
      </c>
      <c r="AZ51" s="5">
        <f t="shared" si="13"/>
        <v>2541.4761471052529</v>
      </c>
      <c r="BA51" s="5">
        <f t="shared" si="22"/>
        <v>2713.5128625936932</v>
      </c>
      <c r="BB51" s="7">
        <v>294.04000000000002</v>
      </c>
      <c r="BC51" s="7">
        <v>278.13</v>
      </c>
      <c r="BD51" s="7">
        <v>4244.2883609999999</v>
      </c>
    </row>
    <row r="52" spans="1:56" x14ac:dyDescent="0.2">
      <c r="A52" s="2">
        <v>51</v>
      </c>
      <c r="B52" s="4">
        <v>45341</v>
      </c>
      <c r="C52" s="5">
        <v>835.97668711344397</v>
      </c>
      <c r="D52" s="5">
        <v>567.14490509033226</v>
      </c>
      <c r="E52" s="5">
        <v>14.333382980028791</v>
      </c>
      <c r="F52" s="5">
        <v>566.7037251790365</v>
      </c>
      <c r="G52" s="5">
        <v>87.465849876403809</v>
      </c>
      <c r="H52" s="5">
        <v>3.7098420355080939</v>
      </c>
      <c r="I52" s="5">
        <v>229.9604771931964</v>
      </c>
      <c r="J52" s="5">
        <v>827.27744801839196</v>
      </c>
      <c r="K52" s="5">
        <v>123.63414319356301</v>
      </c>
      <c r="L52" s="5">
        <v>4.5040435592333479</v>
      </c>
      <c r="M52" s="5">
        <v>565.0433769226081</v>
      </c>
      <c r="N52" s="5">
        <v>14.246326088905329</v>
      </c>
      <c r="O52" s="5">
        <v>566.7037251790365</v>
      </c>
      <c r="P52" s="5">
        <v>1.978192875782649</v>
      </c>
      <c r="Q52" s="5">
        <v>10.403618931770319</v>
      </c>
      <c r="R52" s="5">
        <v>2.2065879205862662</v>
      </c>
      <c r="S52" s="5">
        <v>15.60222053527832</v>
      </c>
      <c r="T52" s="5">
        <v>-93.119631926218645</v>
      </c>
      <c r="U52" s="5">
        <v>35.835286060969032</v>
      </c>
      <c r="V52" s="5">
        <v>458.96329928722042</v>
      </c>
      <c r="W52" s="5">
        <v>191.1772618401784</v>
      </c>
      <c r="X52" s="5">
        <v>335.82606877055821</v>
      </c>
      <c r="Y52" s="5">
        <v>99115.805884763613</v>
      </c>
      <c r="Z52" s="5">
        <v>6.4105562352116863</v>
      </c>
      <c r="AA52" s="5">
        <v>11.89769602426421</v>
      </c>
      <c r="AB52" s="5">
        <v>96.857789036677971</v>
      </c>
      <c r="AC52" s="5">
        <v>-0.24671994445642481</v>
      </c>
      <c r="AD52" s="5">
        <v>457.85903610175973</v>
      </c>
      <c r="AE52" s="5">
        <v>49.700180668445107</v>
      </c>
      <c r="AF52" s="5">
        <v>17.070715327956201</v>
      </c>
      <c r="AG52" s="7">
        <v>93.66</v>
      </c>
      <c r="AH52" s="5">
        <f t="shared" si="1"/>
        <v>3503.1335296232423</v>
      </c>
      <c r="AI52" s="5">
        <f t="shared" si="2"/>
        <v>6.6055020183203315</v>
      </c>
      <c r="AJ52" s="7">
        <v>2.2000000000000002</v>
      </c>
      <c r="AK52" s="7">
        <v>320.02</v>
      </c>
      <c r="AL52" s="5">
        <f t="shared" si="14"/>
        <v>3065.1519003628537</v>
      </c>
      <c r="AM52" s="5">
        <f t="shared" si="15"/>
        <v>2956.1409120644735</v>
      </c>
      <c r="AN52" s="5">
        <f t="shared" si="16"/>
        <v>437.98162926038867</v>
      </c>
      <c r="AO52" s="5">
        <f t="shared" si="17"/>
        <v>546.99261755876887</v>
      </c>
      <c r="AP52" s="5">
        <f t="shared" si="18"/>
        <v>80.070848344371299</v>
      </c>
      <c r="AQ52" s="5">
        <v>4.2933333333333339</v>
      </c>
      <c r="AR52" s="5">
        <v>5.0750000000000002</v>
      </c>
      <c r="AS52" s="5">
        <v>32</v>
      </c>
      <c r="AT52" s="5">
        <v>362.59500000000003</v>
      </c>
      <c r="AU52" s="5">
        <f t="shared" si="19"/>
        <v>4.4454976303317517</v>
      </c>
      <c r="AV52" s="5">
        <f t="shared" si="20"/>
        <v>127.70773685780765</v>
      </c>
      <c r="AW52" s="6">
        <f t="shared" si="21"/>
        <v>71.049853489070429</v>
      </c>
      <c r="AX52" s="7">
        <v>167.428</v>
      </c>
      <c r="AY52" s="5">
        <f t="shared" si="11"/>
        <v>710612711.70550799</v>
      </c>
      <c r="AZ52" s="5">
        <f t="shared" si="13"/>
        <v>2531.6637988724501</v>
      </c>
      <c r="BA52" s="5">
        <f t="shared" si="22"/>
        <v>2703.0363003122466</v>
      </c>
      <c r="BB52" s="7">
        <v>296.73</v>
      </c>
      <c r="BC52" s="7">
        <v>280.69</v>
      </c>
      <c r="BD52" s="7">
        <v>4244.2883609999999</v>
      </c>
    </row>
    <row r="53" spans="1:56" x14ac:dyDescent="0.2">
      <c r="A53" s="2">
        <v>52</v>
      </c>
      <c r="B53" s="4">
        <v>45342</v>
      </c>
      <c r="C53" s="5">
        <v>831.39272562662757</v>
      </c>
      <c r="D53" s="5">
        <v>566.89157740275107</v>
      </c>
      <c r="E53" s="5">
        <v>14.21294283866883</v>
      </c>
      <c r="F53" s="5">
        <v>566.62037658691406</v>
      </c>
      <c r="G53" s="5">
        <v>107.2565530141195</v>
      </c>
      <c r="H53" s="5">
        <v>5.4744223216548562</v>
      </c>
      <c r="I53" s="5">
        <v>229.48801358540811</v>
      </c>
      <c r="J53" s="5">
        <v>815.71482594807946</v>
      </c>
      <c r="K53" s="5">
        <v>125.5068566004436</v>
      </c>
      <c r="L53" s="5">
        <v>4.5972278118133536</v>
      </c>
      <c r="M53" s="5">
        <v>564.778456370036</v>
      </c>
      <c r="N53" s="5">
        <v>14.132101734479271</v>
      </c>
      <c r="O53" s="5">
        <v>566.62037658691406</v>
      </c>
      <c r="P53" s="5">
        <v>1.968655114372571</v>
      </c>
      <c r="Q53" s="5">
        <v>10.296805659929911</v>
      </c>
      <c r="R53" s="5">
        <v>2.1947229305903151</v>
      </c>
      <c r="S53" s="5">
        <v>15.43655518690745</v>
      </c>
      <c r="T53" s="5">
        <v>-92.914636770884172</v>
      </c>
      <c r="U53" s="5">
        <v>36.443393945693963</v>
      </c>
      <c r="V53" s="5">
        <v>451.53852326644778</v>
      </c>
      <c r="W53" s="5">
        <v>210.35060897027699</v>
      </c>
      <c r="X53" s="5">
        <v>342.65908965857329</v>
      </c>
      <c r="Y53" s="5">
        <v>98543.870487903361</v>
      </c>
      <c r="Z53" s="5">
        <v>6.4533097030033737</v>
      </c>
      <c r="AA53" s="5">
        <v>11.961159724252241</v>
      </c>
      <c r="AB53" s="5">
        <v>96.508942656201341</v>
      </c>
      <c r="AC53" s="5">
        <v>-0.24178686974856309</v>
      </c>
      <c r="AD53" s="5">
        <v>460.30130966839903</v>
      </c>
      <c r="AE53" s="5">
        <v>49.695116669557393</v>
      </c>
      <c r="AF53" s="5">
        <v>29.129902985931189</v>
      </c>
      <c r="AG53" s="7">
        <v>93.61</v>
      </c>
      <c r="AH53" s="5">
        <f t="shared" si="1"/>
        <v>3503.6420341657354</v>
      </c>
      <c r="AI53" s="5">
        <f t="shared" si="2"/>
        <v>6.6096842079728857</v>
      </c>
      <c r="AJ53" s="7">
        <v>2.19</v>
      </c>
      <c r="AK53" s="7">
        <v>320.36</v>
      </c>
      <c r="AL53" s="5">
        <f t="shared" si="14"/>
        <v>3066.1891736748566</v>
      </c>
      <c r="AM53" s="5">
        <f t="shared" si="15"/>
        <v>2957.3587195987229</v>
      </c>
      <c r="AN53" s="5">
        <f t="shared" si="16"/>
        <v>437.45286049087872</v>
      </c>
      <c r="AO53" s="5">
        <f t="shared" si="17"/>
        <v>546.28331456701244</v>
      </c>
      <c r="AP53" s="5">
        <f t="shared" si="18"/>
        <v>80.078019742852035</v>
      </c>
      <c r="AQ53" s="5">
        <v>4.4683333333333337</v>
      </c>
      <c r="AR53" s="5">
        <v>5.05</v>
      </c>
      <c r="AS53" s="5">
        <v>34</v>
      </c>
      <c r="AT53" s="5">
        <v>363.0333333333333</v>
      </c>
      <c r="AU53" s="5">
        <f t="shared" si="19"/>
        <v>3.3028391167192401</v>
      </c>
      <c r="AV53" s="5">
        <f t="shared" si="20"/>
        <v>128.52918085472322</v>
      </c>
      <c r="AW53" s="6">
        <f t="shared" si="21"/>
        <v>71.270636960371831</v>
      </c>
      <c r="AX53" s="7">
        <v>169.46899999999999</v>
      </c>
      <c r="AY53" s="5">
        <f t="shared" si="11"/>
        <v>719275304.25030899</v>
      </c>
      <c r="AZ53" s="5">
        <f t="shared" si="13"/>
        <v>2576.1086789524338</v>
      </c>
      <c r="BA53" s="5">
        <f t="shared" si="22"/>
        <v>2751.9588494310801</v>
      </c>
      <c r="BB53" s="7">
        <v>294.94</v>
      </c>
      <c r="BC53" s="7">
        <v>279.20999999999998</v>
      </c>
      <c r="BD53" s="7">
        <v>4244.2883609999999</v>
      </c>
    </row>
    <row r="54" spans="1:56" x14ac:dyDescent="0.2">
      <c r="A54" s="2">
        <v>53</v>
      </c>
      <c r="B54" s="4">
        <v>45343</v>
      </c>
      <c r="C54" s="5">
        <v>835.58718617757165</v>
      </c>
      <c r="D54" s="5">
        <v>567.8241920471196</v>
      </c>
      <c r="E54" s="5">
        <v>14.409827931722001</v>
      </c>
      <c r="F54" s="5">
        <v>566.5362650553385</v>
      </c>
      <c r="G54" s="5">
        <v>86.957362810770675</v>
      </c>
      <c r="H54" s="5">
        <v>2.020866757983943</v>
      </c>
      <c r="I54" s="5">
        <v>229.9179830551146</v>
      </c>
      <c r="J54" s="5">
        <v>826.60546366373694</v>
      </c>
      <c r="K54" s="5">
        <v>123.6705860561795</v>
      </c>
      <c r="L54" s="5">
        <v>4.6605903307596854</v>
      </c>
      <c r="M54" s="5">
        <v>565.59824498494459</v>
      </c>
      <c r="N54" s="5">
        <v>14.326271494229641</v>
      </c>
      <c r="O54" s="5">
        <v>566.5362650553385</v>
      </c>
      <c r="P54" s="5">
        <v>1.9777656048536301</v>
      </c>
      <c r="Q54" s="5">
        <v>10.40207389990489</v>
      </c>
      <c r="R54" s="5">
        <v>2.206679508090021</v>
      </c>
      <c r="S54" s="5">
        <v>15.68030452728271</v>
      </c>
      <c r="T54" s="5">
        <v>-92.93609502580432</v>
      </c>
      <c r="U54" s="5">
        <v>36.345964590708419</v>
      </c>
      <c r="V54" s="5">
        <v>470.40294308561192</v>
      </c>
      <c r="W54" s="5">
        <v>219.15564976996379</v>
      </c>
      <c r="X54" s="5">
        <v>349.16873124382067</v>
      </c>
      <c r="Y54" s="5">
        <v>98674.116307307966</v>
      </c>
      <c r="Z54" s="5">
        <v>6.4523985144787774</v>
      </c>
      <c r="AA54" s="5">
        <v>11.88733169869322</v>
      </c>
      <c r="AB54" s="5">
        <v>91.249545679608147</v>
      </c>
      <c r="AC54" s="5">
        <v>-0.2320929347395016</v>
      </c>
      <c r="AD54" s="5">
        <v>457.4601857608115</v>
      </c>
      <c r="AE54" s="5">
        <v>49.696321215865481</v>
      </c>
      <c r="AF54" s="5">
        <v>27.504381908177379</v>
      </c>
      <c r="AG54" s="7">
        <v>93.73</v>
      </c>
      <c r="AH54" s="5">
        <f t="shared" si="1"/>
        <v>3504.1832585478974</v>
      </c>
      <c r="AI54" s="5">
        <f t="shared" si="2"/>
        <v>6.6044969276809482</v>
      </c>
      <c r="AJ54" s="7">
        <v>2.21</v>
      </c>
      <c r="AK54" s="7">
        <v>319.44</v>
      </c>
      <c r="AL54" s="5">
        <f t="shared" si="14"/>
        <v>3063.5591352017668</v>
      </c>
      <c r="AM54" s="5">
        <f t="shared" si="15"/>
        <v>2956.6571177385663</v>
      </c>
      <c r="AN54" s="5">
        <f t="shared" si="16"/>
        <v>440.62412334613055</v>
      </c>
      <c r="AO54" s="5">
        <f t="shared" si="17"/>
        <v>547.52614080933108</v>
      </c>
      <c r="AP54" s="5">
        <f t="shared" si="18"/>
        <v>80.475449573022701</v>
      </c>
      <c r="AQ54" s="5">
        <v>4.67</v>
      </c>
      <c r="AR54" s="5">
        <v>4.9649999999999999</v>
      </c>
      <c r="AS54" s="5">
        <v>32</v>
      </c>
      <c r="AT54" s="5">
        <v>360.49166666666673</v>
      </c>
      <c r="AU54" s="5">
        <f t="shared" si="19"/>
        <v>1.6661437088170692</v>
      </c>
      <c r="AV54" s="5">
        <f t="shared" si="20"/>
        <v>125.19794975859027</v>
      </c>
      <c r="AW54" s="6">
        <f t="shared" si="21"/>
        <v>71.628519315480276</v>
      </c>
      <c r="AX54" s="7">
        <v>170.85300000000001</v>
      </c>
      <c r="AY54" s="5">
        <f t="shared" si="11"/>
        <v>725149399.34193301</v>
      </c>
      <c r="AZ54" s="5">
        <f t="shared" si="13"/>
        <v>2572.8202921480683</v>
      </c>
      <c r="BA54" s="5">
        <f t="shared" si="22"/>
        <v>2744.9272294335519</v>
      </c>
      <c r="BB54" s="7">
        <v>297.45</v>
      </c>
      <c r="BC54" s="7">
        <v>281.85000000000002</v>
      </c>
      <c r="BD54" s="7">
        <v>4244.2883609999999</v>
      </c>
    </row>
    <row r="55" spans="1:56" x14ac:dyDescent="0.2">
      <c r="A55" s="2">
        <v>54</v>
      </c>
      <c r="B55" s="4">
        <v>45344</v>
      </c>
      <c r="C55" s="5">
        <v>826.4861729939779</v>
      </c>
      <c r="D55" s="5">
        <v>567.26124191284214</v>
      </c>
      <c r="E55" s="5">
        <v>14.13273675441741</v>
      </c>
      <c r="F55" s="5">
        <v>566.42800140380859</v>
      </c>
      <c r="G55" s="5">
        <v>82.124977906544999</v>
      </c>
      <c r="H55" s="5">
        <v>1.281535331552732</v>
      </c>
      <c r="I55" s="5">
        <v>229.25908533732081</v>
      </c>
      <c r="J55" s="5">
        <v>814.35715230305993</v>
      </c>
      <c r="K55" s="5">
        <v>124.3181729316713</v>
      </c>
      <c r="L55" s="5">
        <v>4.901684582233429</v>
      </c>
      <c r="M55" s="5">
        <v>565.41298929850257</v>
      </c>
      <c r="N55" s="5">
        <v>14.050039013226829</v>
      </c>
      <c r="O55" s="5">
        <v>566.42800140380859</v>
      </c>
      <c r="P55" s="5">
        <v>1.955424318710963</v>
      </c>
      <c r="Q55" s="5">
        <v>10.294831315676371</v>
      </c>
      <c r="R55" s="5">
        <v>2.1819118211666719</v>
      </c>
      <c r="S55" s="5">
        <v>15.40611636638641</v>
      </c>
      <c r="T55" s="5">
        <v>-93.207104100121398</v>
      </c>
      <c r="U55" s="5">
        <v>35.615744988123588</v>
      </c>
      <c r="V55" s="5">
        <v>452.49960887399931</v>
      </c>
      <c r="W55" s="5">
        <v>206.05412923238441</v>
      </c>
      <c r="X55" s="5">
        <v>355.47332838432408</v>
      </c>
      <c r="Y55" s="5">
        <v>97835.657427695332</v>
      </c>
      <c r="Z55" s="5">
        <v>6.6272357806946767</v>
      </c>
      <c r="AA55" s="5">
        <v>11.736786939719639</v>
      </c>
      <c r="AB55" s="5">
        <v>86.19541993246925</v>
      </c>
      <c r="AC55" s="5">
        <v>-0.2200023165867506</v>
      </c>
      <c r="AD55" s="5">
        <v>451.66677180123122</v>
      </c>
      <c r="AE55" s="5">
        <v>49.703250688357969</v>
      </c>
      <c r="AF55" s="5">
        <v>29.396611686932459</v>
      </c>
      <c r="AG55" s="7">
        <v>93.600000000000009</v>
      </c>
      <c r="AH55" s="5">
        <f t="shared" si="1"/>
        <v>3505.4005208945305</v>
      </c>
      <c r="AI55" s="5">
        <f t="shared" si="2"/>
        <v>6.6141776023222283</v>
      </c>
      <c r="AJ55" s="7">
        <v>2.1800000000000002</v>
      </c>
      <c r="AK55" s="7">
        <v>319.68</v>
      </c>
      <c r="AL55" s="5">
        <f t="shared" si="14"/>
        <v>3064.8771365436387</v>
      </c>
      <c r="AM55" s="5">
        <f t="shared" si="15"/>
        <v>2958.7423077152398</v>
      </c>
      <c r="AN55" s="5">
        <f t="shared" si="16"/>
        <v>440.52338435089177</v>
      </c>
      <c r="AO55" s="5">
        <f t="shared" si="17"/>
        <v>546.65821317929067</v>
      </c>
      <c r="AP55" s="5">
        <f t="shared" si="18"/>
        <v>80.584792056606446</v>
      </c>
      <c r="AQ55" s="5">
        <v>4.8816666666666668</v>
      </c>
      <c r="AR55" s="5">
        <v>5.13</v>
      </c>
      <c r="AS55" s="5">
        <v>34</v>
      </c>
      <c r="AT55" s="5">
        <v>360.61333333333329</v>
      </c>
      <c r="AU55" s="5">
        <f t="shared" si="19"/>
        <v>1.4172479391249193</v>
      </c>
      <c r="AV55" s="5">
        <f t="shared" si="20"/>
        <v>125.5982053762007</v>
      </c>
      <c r="AW55" s="6">
        <f t="shared" si="21"/>
        <v>71.955154297783096</v>
      </c>
      <c r="AX55" s="7">
        <v>166.268</v>
      </c>
      <c r="AY55" s="5">
        <f t="shared" si="11"/>
        <v>705689337.20674801</v>
      </c>
      <c r="AZ55" s="5">
        <f t="shared" si="13"/>
        <v>2525.0987125872116</v>
      </c>
      <c r="BA55" s="5">
        <f t="shared" si="22"/>
        <v>2697.7550348153968</v>
      </c>
      <c r="BB55" s="7">
        <v>294.99</v>
      </c>
      <c r="BC55" s="7">
        <v>279.47000000000003</v>
      </c>
      <c r="BD55" s="7">
        <v>4244.2883609999999</v>
      </c>
    </row>
    <row r="56" spans="1:56" x14ac:dyDescent="0.2">
      <c r="A56" s="2">
        <v>55</v>
      </c>
      <c r="B56" s="4">
        <v>45345</v>
      </c>
      <c r="C56" s="5">
        <v>833.58153533935547</v>
      </c>
      <c r="D56" s="5">
        <v>566.68657811482751</v>
      </c>
      <c r="E56" s="5">
        <v>14.14071817398071</v>
      </c>
      <c r="F56" s="5">
        <v>566.00016276041663</v>
      </c>
      <c r="G56" s="5">
        <v>74.034079074859619</v>
      </c>
      <c r="H56" s="5">
        <v>2.5675408685783618</v>
      </c>
      <c r="I56" s="5">
        <v>229.60492833455399</v>
      </c>
      <c r="J56" s="5">
        <v>821.4445470174154</v>
      </c>
      <c r="K56" s="5">
        <v>126.34400664435491</v>
      </c>
      <c r="L56" s="5">
        <v>4.7238100171089172</v>
      </c>
      <c r="M56" s="5">
        <v>564.69071451822958</v>
      </c>
      <c r="N56" s="5">
        <v>14.05375854174296</v>
      </c>
      <c r="O56" s="5">
        <v>566.00016276041663</v>
      </c>
      <c r="P56" s="5">
        <v>1.973034833868345</v>
      </c>
      <c r="Q56" s="5">
        <v>10.37011277675629</v>
      </c>
      <c r="R56" s="5">
        <v>2.2005295256773612</v>
      </c>
      <c r="S56" s="5">
        <v>15.43858198324839</v>
      </c>
      <c r="T56" s="5">
        <v>-93.118936856587709</v>
      </c>
      <c r="U56" s="5">
        <v>35.85624702771505</v>
      </c>
      <c r="V56" s="5">
        <v>449.08539779580121</v>
      </c>
      <c r="W56" s="5">
        <v>194.15581188239389</v>
      </c>
      <c r="X56" s="5">
        <v>362.04620735221653</v>
      </c>
      <c r="Y56" s="5">
        <v>99444.026860529382</v>
      </c>
      <c r="Z56" s="5">
        <v>6.3984345557769267</v>
      </c>
      <c r="AA56" s="5">
        <v>11.82327712071633</v>
      </c>
      <c r="AB56" s="5">
        <v>99.427826430446373</v>
      </c>
      <c r="AC56" s="5">
        <v>-0.2473263668795643</v>
      </c>
      <c r="AD56" s="5">
        <v>454.99517343652673</v>
      </c>
      <c r="AE56" s="5">
        <v>49.692399237638753</v>
      </c>
      <c r="AF56" s="5">
        <v>32.992661486606863</v>
      </c>
      <c r="AG56" s="7">
        <v>93.57</v>
      </c>
      <c r="AH56" s="5">
        <f t="shared" si="1"/>
        <v>3503.8074291458838</v>
      </c>
      <c r="AI56" s="5">
        <f t="shared" si="2"/>
        <v>6.6120418104226353</v>
      </c>
      <c r="AJ56" s="7">
        <v>2.2000000000000002</v>
      </c>
      <c r="AK56" s="7">
        <v>320.08999999999997</v>
      </c>
      <c r="AL56" s="5">
        <f t="shared" si="14"/>
        <v>3065.3132713069795</v>
      </c>
      <c r="AM56" s="5">
        <f t="shared" si="15"/>
        <v>2959.7246464030031</v>
      </c>
      <c r="AN56" s="5">
        <f t="shared" si="16"/>
        <v>438.49415783890436</v>
      </c>
      <c r="AO56" s="5">
        <f t="shared" si="17"/>
        <v>544.08278274288068</v>
      </c>
      <c r="AP56" s="5">
        <f t="shared" si="18"/>
        <v>80.593279505799998</v>
      </c>
      <c r="AQ56" s="5">
        <v>4.7166666666666668</v>
      </c>
      <c r="AR56" s="5">
        <v>5.07</v>
      </c>
      <c r="AS56" s="5">
        <v>33</v>
      </c>
      <c r="AT56" s="5">
        <v>363.48666666666662</v>
      </c>
      <c r="AU56" s="5">
        <f t="shared" si="19"/>
        <v>2.0088439671509803</v>
      </c>
      <c r="AV56" s="5">
        <f t="shared" si="20"/>
        <v>128.21914209052704</v>
      </c>
      <c r="AW56" s="6">
        <f t="shared" si="21"/>
        <v>71.188204640471511</v>
      </c>
      <c r="AX56" s="7">
        <v>166.197</v>
      </c>
      <c r="AY56" s="5">
        <f t="shared" si="11"/>
        <v>705387992.73311698</v>
      </c>
      <c r="AZ56" s="5">
        <f t="shared" si="13"/>
        <v>2504.2175260335025</v>
      </c>
      <c r="BA56" s="5">
        <f t="shared" si="22"/>
        <v>2676.3038645222855</v>
      </c>
      <c r="BB56" s="7">
        <v>297.18</v>
      </c>
      <c r="BC56" s="7">
        <v>281.68</v>
      </c>
      <c r="BD56" s="7">
        <v>4244.2883609999999</v>
      </c>
    </row>
    <row r="57" spans="1:56" x14ac:dyDescent="0.2">
      <c r="A57" s="2">
        <v>56</v>
      </c>
      <c r="B57" s="4">
        <v>45346</v>
      </c>
      <c r="C57" s="5">
        <v>826.58498382568359</v>
      </c>
      <c r="D57" s="5">
        <v>567.20041020711335</v>
      </c>
      <c r="E57" s="5">
        <v>14.15223404566448</v>
      </c>
      <c r="F57" s="5">
        <v>565.2467142740885</v>
      </c>
      <c r="G57" s="5">
        <v>79.90485541025798</v>
      </c>
      <c r="H57" s="5">
        <v>6.1052991593900288</v>
      </c>
      <c r="I57" s="5">
        <v>229.1559727986652</v>
      </c>
      <c r="J57" s="5">
        <v>811.84976704915368</v>
      </c>
      <c r="K57" s="5">
        <v>123.08655373255409</v>
      </c>
      <c r="L57" s="5">
        <v>4.8919241428375244</v>
      </c>
      <c r="M57" s="5">
        <v>565.21970240275061</v>
      </c>
      <c r="N57" s="5">
        <v>14.070296963055929</v>
      </c>
      <c r="O57" s="5">
        <v>565.2467142740885</v>
      </c>
      <c r="P57" s="5">
        <v>1.9566298822561901</v>
      </c>
      <c r="Q57" s="5">
        <v>10.23488648732503</v>
      </c>
      <c r="R57" s="5">
        <v>2.182476436098415</v>
      </c>
      <c r="S57" s="5">
        <v>15.428011735280361</v>
      </c>
      <c r="T57" s="5">
        <v>-93.148937967088486</v>
      </c>
      <c r="U57" s="5">
        <v>35.776019573211677</v>
      </c>
      <c r="V57" s="5">
        <v>401.29637158885879</v>
      </c>
      <c r="W57" s="5">
        <v>201.73471004217231</v>
      </c>
      <c r="X57" s="5">
        <v>368.39005480937158</v>
      </c>
      <c r="Y57" s="5">
        <v>98563.171625545423</v>
      </c>
      <c r="Z57" s="5">
        <v>6.5968061058813783</v>
      </c>
      <c r="AA57" s="5">
        <v>11.52434996246491</v>
      </c>
      <c r="AB57" s="5">
        <v>101.86516793173629</v>
      </c>
      <c r="AC57" s="5">
        <v>-0.25930372414434788</v>
      </c>
      <c r="AD57" s="5">
        <v>443.4915596055373</v>
      </c>
      <c r="AE57" s="5">
        <v>49.699723319637492</v>
      </c>
      <c r="AF57" s="5">
        <v>32.670873868139481</v>
      </c>
      <c r="AG57" s="7">
        <v>93.65</v>
      </c>
      <c r="AH57" s="5">
        <f t="shared" si="1"/>
        <v>3505.0498860794942</v>
      </c>
      <c r="AI57" s="5">
        <f t="shared" si="2"/>
        <v>6.6131754185586473</v>
      </c>
      <c r="AJ57" s="7">
        <v>2.1800000000000002</v>
      </c>
      <c r="AK57" s="7">
        <v>320.89</v>
      </c>
      <c r="AL57" s="5">
        <f t="shared" si="14"/>
        <v>3067.6619792555216</v>
      </c>
      <c r="AM57" s="5">
        <f t="shared" si="15"/>
        <v>2958.1931913278127</v>
      </c>
      <c r="AN57" s="5">
        <f t="shared" si="16"/>
        <v>437.38790682397257</v>
      </c>
      <c r="AO57" s="5">
        <f t="shared" si="17"/>
        <v>546.85669475168152</v>
      </c>
      <c r="AP57" s="5">
        <f t="shared" si="18"/>
        <v>79.982180161949572</v>
      </c>
      <c r="AQ57" s="5">
        <v>4.8766666666666669</v>
      </c>
      <c r="AR57" s="5">
        <v>5.15</v>
      </c>
      <c r="AS57" s="5">
        <v>30</v>
      </c>
      <c r="AT57" s="5">
        <v>363.065</v>
      </c>
      <c r="AU57" s="5">
        <f t="shared" si="19"/>
        <v>1.5619047619047626</v>
      </c>
      <c r="AV57" s="5">
        <f t="shared" si="20"/>
        <v>124.54047704799589</v>
      </c>
      <c r="AW57" s="6">
        <f t="shared" si="21"/>
        <v>71.615006966209023</v>
      </c>
      <c r="AX57" s="7">
        <v>165.49</v>
      </c>
      <c r="AY57" s="5">
        <f t="shared" si="11"/>
        <v>702387280.86189008</v>
      </c>
      <c r="AZ57" s="5">
        <f t="shared" si="13"/>
        <v>2521.3126601403192</v>
      </c>
      <c r="BA57" s="5">
        <f t="shared" si="22"/>
        <v>2692.2719275390486</v>
      </c>
      <c r="BB57" s="7">
        <v>293.89</v>
      </c>
      <c r="BC57" s="7">
        <v>278.58</v>
      </c>
      <c r="BD57" s="7">
        <v>4244.2883609999999</v>
      </c>
    </row>
    <row r="58" spans="1:56" x14ac:dyDescent="0.2">
      <c r="A58" s="2">
        <v>57</v>
      </c>
      <c r="B58" s="4">
        <v>45347</v>
      </c>
      <c r="C58" s="5">
        <v>825.36996968587243</v>
      </c>
      <c r="D58" s="5">
        <v>567.39277140299521</v>
      </c>
      <c r="E58" s="5">
        <v>14.05189309120178</v>
      </c>
      <c r="F58" s="5">
        <v>566.25616455078125</v>
      </c>
      <c r="G58" s="5">
        <v>86.443412780761719</v>
      </c>
      <c r="H58" s="5">
        <v>3.0645060471482188</v>
      </c>
      <c r="I58" s="5">
        <v>229.04623158772779</v>
      </c>
      <c r="J58" s="5">
        <v>811.10271453857422</v>
      </c>
      <c r="K58" s="5">
        <v>120.72441503736719</v>
      </c>
      <c r="L58" s="5">
        <v>5.0123285055160522</v>
      </c>
      <c r="M58" s="5">
        <v>565.39239120483433</v>
      </c>
      <c r="N58" s="5">
        <v>13.971237858136501</v>
      </c>
      <c r="O58" s="5">
        <v>566.25616455078125</v>
      </c>
      <c r="P58" s="5">
        <v>1.9535777767499289</v>
      </c>
      <c r="Q58" s="5">
        <v>10.228534380594891</v>
      </c>
      <c r="R58" s="5">
        <v>2.1795235474904349</v>
      </c>
      <c r="S58" s="5">
        <v>15.309753378232321</v>
      </c>
      <c r="T58" s="5">
        <v>-93.211243576473677</v>
      </c>
      <c r="U58" s="5">
        <v>35.600477059682213</v>
      </c>
      <c r="V58" s="5">
        <v>431.160138369577</v>
      </c>
      <c r="W58" s="5">
        <v>189.82842457172561</v>
      </c>
      <c r="X58" s="5">
        <v>374.91241559110989</v>
      </c>
      <c r="Y58" s="5">
        <v>98070.947931959119</v>
      </c>
      <c r="Z58" s="5">
        <v>6.6598256386985391</v>
      </c>
      <c r="AA58" s="5">
        <v>11.423619814702921</v>
      </c>
      <c r="AB58" s="5">
        <v>99.993836492936396</v>
      </c>
      <c r="AC58" s="5">
        <v>-0.25690576178259189</v>
      </c>
      <c r="AD58" s="5">
        <v>439.61516132921258</v>
      </c>
      <c r="AE58" s="5">
        <v>49.704198696848529</v>
      </c>
      <c r="AF58" s="5">
        <v>33.182954143719208</v>
      </c>
      <c r="AG58" s="7">
        <v>93.7</v>
      </c>
      <c r="AH58" s="5">
        <f t="shared" si="1"/>
        <v>3506.5352362586577</v>
      </c>
      <c r="AI58" s="5">
        <f t="shared" si="2"/>
        <v>6.6179626706428225</v>
      </c>
      <c r="AJ58" s="7">
        <v>2.1800000000000002</v>
      </c>
      <c r="AK58" s="7">
        <v>320.85000000000002</v>
      </c>
      <c r="AL58" s="5">
        <f t="shared" si="14"/>
        <v>3067.5699703934924</v>
      </c>
      <c r="AM58" s="5">
        <f t="shared" si="15"/>
        <v>2960.8182375036949</v>
      </c>
      <c r="AN58" s="5">
        <f t="shared" si="16"/>
        <v>438.96526586516529</v>
      </c>
      <c r="AO58" s="5">
        <f t="shared" si="17"/>
        <v>545.71699875496279</v>
      </c>
      <c r="AP58" s="5">
        <f t="shared" si="18"/>
        <v>80.438261382117759</v>
      </c>
      <c r="AQ58" s="5">
        <v>4.9716666666666667</v>
      </c>
      <c r="AR58" s="5">
        <v>5.2249999999999996</v>
      </c>
      <c r="AS58" s="5">
        <v>27</v>
      </c>
      <c r="AT58" s="5">
        <v>358.22666666666663</v>
      </c>
      <c r="AU58" s="5">
        <f t="shared" si="19"/>
        <v>1.4545454545454526</v>
      </c>
      <c r="AV58" s="5">
        <f t="shared" si="20"/>
        <v>122.08767925609253</v>
      </c>
      <c r="AW58" s="6">
        <f t="shared" si="21"/>
        <v>71.2922633274014</v>
      </c>
      <c r="AX58" s="7">
        <v>163.94499999999999</v>
      </c>
      <c r="AY58" s="5">
        <f t="shared" si="11"/>
        <v>695829855.34414494</v>
      </c>
      <c r="AZ58" s="5">
        <f t="shared" si="13"/>
        <v>2494.5502808637875</v>
      </c>
      <c r="BA58" s="5">
        <f t="shared" si="22"/>
        <v>2662.2735121278415</v>
      </c>
      <c r="BB58" s="7">
        <v>293.93</v>
      </c>
      <c r="BC58" s="7">
        <v>278.94</v>
      </c>
      <c r="BD58" s="7">
        <v>4244.2883609999999</v>
      </c>
    </row>
    <row r="59" spans="1:56" x14ac:dyDescent="0.2">
      <c r="A59" s="2">
        <v>58</v>
      </c>
      <c r="B59" s="4">
        <v>45348</v>
      </c>
      <c r="C59" s="5">
        <v>832.436279296875</v>
      </c>
      <c r="D59" s="5">
        <v>566.53182093302439</v>
      </c>
      <c r="E59" s="5">
        <v>14.10145557721455</v>
      </c>
      <c r="F59" s="5">
        <v>565.56521606445312</v>
      </c>
      <c r="G59" s="5">
        <v>92.41226991017659</v>
      </c>
      <c r="H59" s="5">
        <v>2.639260222917073</v>
      </c>
      <c r="I59" s="5">
        <v>229.4243714014689</v>
      </c>
      <c r="J59" s="5">
        <v>816.22942352294922</v>
      </c>
      <c r="K59" s="5">
        <v>124.0794819725885</v>
      </c>
      <c r="L59" s="5">
        <v>4.9482891360918684</v>
      </c>
      <c r="M59" s="5">
        <v>564.55651219685876</v>
      </c>
      <c r="N59" s="5">
        <v>14.01993775367737</v>
      </c>
      <c r="O59" s="5">
        <v>565.56521606445312</v>
      </c>
      <c r="P59" s="5">
        <v>1.970425317684809</v>
      </c>
      <c r="Q59" s="5">
        <v>10.298951625823969</v>
      </c>
      <c r="R59" s="5">
        <v>2.1981184085210161</v>
      </c>
      <c r="S59" s="5">
        <v>15.36097466945648</v>
      </c>
      <c r="T59" s="5">
        <v>-93.018450736999498</v>
      </c>
      <c r="U59" s="5">
        <v>35.98550200462342</v>
      </c>
      <c r="V59" s="5">
        <v>625.24827727266609</v>
      </c>
      <c r="W59" s="5">
        <v>175.52660075253041</v>
      </c>
      <c r="X59" s="5">
        <v>381.55396894484312</v>
      </c>
      <c r="Y59" s="5">
        <v>94006.168711022809</v>
      </c>
      <c r="Z59" s="5">
        <v>6.6201675225801901</v>
      </c>
      <c r="AA59" s="5">
        <v>11.938269397985209</v>
      </c>
      <c r="AB59" s="5">
        <v>99.952513048106781</v>
      </c>
      <c r="AC59" s="5">
        <v>-0.25068431720078199</v>
      </c>
      <c r="AD59" s="5">
        <v>459.42042124266442</v>
      </c>
      <c r="AE59" s="5">
        <v>49.694482540267117</v>
      </c>
      <c r="AF59" s="5">
        <v>37.677215728509744</v>
      </c>
      <c r="AG59" s="7">
        <v>93.63</v>
      </c>
      <c r="AH59" s="5">
        <f t="shared" si="1"/>
        <v>3503.7834147831336</v>
      </c>
      <c r="AI59" s="5">
        <f t="shared" si="2"/>
        <v>6.6131927672502178</v>
      </c>
      <c r="AJ59" s="7">
        <v>2.2000000000000002</v>
      </c>
      <c r="AK59" s="7">
        <v>320.86</v>
      </c>
      <c r="AL59" s="5">
        <f t="shared" si="14"/>
        <v>3067.0876180694449</v>
      </c>
      <c r="AM59" s="5">
        <f t="shared" si="15"/>
        <v>2960.3563407440583</v>
      </c>
      <c r="AN59" s="5">
        <f t="shared" si="16"/>
        <v>436.69579671368865</v>
      </c>
      <c r="AO59" s="5">
        <f t="shared" si="17"/>
        <v>543.42707403907525</v>
      </c>
      <c r="AP59" s="5">
        <f t="shared" si="18"/>
        <v>80.359595164794456</v>
      </c>
      <c r="AQ59" s="5">
        <v>4.9733333333333336</v>
      </c>
      <c r="AR59" s="5">
        <v>5.2050000000000001</v>
      </c>
      <c r="AS59" s="5">
        <v>32</v>
      </c>
      <c r="AT59" s="5">
        <v>359.55333333333328</v>
      </c>
      <c r="AU59" s="5">
        <f>((AR59-AQ59)/(20.9-AR59))*90</f>
        <v>1.3284485504937866</v>
      </c>
      <c r="AV59" s="5">
        <f t="shared" si="20"/>
        <v>125.30271051615554</v>
      </c>
      <c r="AW59" s="6">
        <f t="shared" si="21"/>
        <v>71.515261479202707</v>
      </c>
      <c r="AX59" s="7">
        <v>168.14099999999999</v>
      </c>
      <c r="AY59" s="5">
        <f t="shared" si="11"/>
        <v>713638889.30690086</v>
      </c>
      <c r="AZ59" s="5">
        <f t="shared" si="13"/>
        <v>2544.9837356260505</v>
      </c>
      <c r="BA59" s="5">
        <f t="shared" si="22"/>
        <v>2718.1285225099332</v>
      </c>
      <c r="BB59" s="7">
        <v>295.63</v>
      </c>
      <c r="BC59" s="7">
        <v>280.41000000000003</v>
      </c>
      <c r="BD59" s="7">
        <v>4244.2883609999999</v>
      </c>
    </row>
    <row r="60" spans="1:56" x14ac:dyDescent="0.2">
      <c r="A60" s="2">
        <v>59</v>
      </c>
      <c r="B60" s="4">
        <v>45349</v>
      </c>
      <c r="C60" s="5">
        <v>834.12217458089196</v>
      </c>
      <c r="D60" s="5">
        <v>567.11174519856831</v>
      </c>
      <c r="E60" s="5">
        <v>14.09669904708861</v>
      </c>
      <c r="F60" s="5">
        <v>565.59027862548828</v>
      </c>
      <c r="G60" s="5">
        <v>99.366556485493973</v>
      </c>
      <c r="H60" s="5">
        <v>0.79378578155708102</v>
      </c>
      <c r="I60" s="5">
        <v>229.50185807545961</v>
      </c>
      <c r="J60" s="5">
        <v>819.89128367106116</v>
      </c>
      <c r="K60" s="5">
        <v>122.9494978586833</v>
      </c>
      <c r="L60" s="5">
        <v>5.1146647731463117</v>
      </c>
      <c r="M60" s="5">
        <v>564.89209365844727</v>
      </c>
      <c r="N60" s="5">
        <v>14.011296510696409</v>
      </c>
      <c r="O60" s="5">
        <v>565.59027862548828</v>
      </c>
      <c r="P60" s="5">
        <v>1.9742404222488401</v>
      </c>
      <c r="Q60" s="5">
        <v>10.353259483973179</v>
      </c>
      <c r="R60" s="5">
        <v>2.2025210211674371</v>
      </c>
      <c r="S60" s="5">
        <v>15.36598161856333</v>
      </c>
      <c r="T60" s="5">
        <v>-93.007274521721726</v>
      </c>
      <c r="U60" s="5">
        <v>36.001324812571227</v>
      </c>
      <c r="V60" s="5">
        <v>431.2355945478817</v>
      </c>
      <c r="W60" s="5">
        <v>188.28433861002449</v>
      </c>
      <c r="X60" s="5">
        <v>387.46755310075292</v>
      </c>
      <c r="Y60" s="5">
        <v>96808.305392301394</v>
      </c>
      <c r="Z60" s="5">
        <v>6.7319325693254628</v>
      </c>
      <c r="AA60" s="5">
        <v>12.008663314066419</v>
      </c>
      <c r="AB60" s="5">
        <v>98.390053653687616</v>
      </c>
      <c r="AC60" s="5">
        <v>-0.2497035167982912</v>
      </c>
      <c r="AD60" s="5">
        <v>462.12939031521819</v>
      </c>
      <c r="AE60" s="5">
        <v>49.694381563259782</v>
      </c>
      <c r="AF60" s="5">
        <v>16.615995080961479</v>
      </c>
      <c r="AG60" s="7">
        <v>93.679999999999993</v>
      </c>
      <c r="AH60" s="5">
        <f t="shared" si="1"/>
        <v>3505.3582022094261</v>
      </c>
      <c r="AI60" s="5">
        <f t="shared" si="2"/>
        <v>6.6152107337002155</v>
      </c>
      <c r="AJ60" s="7">
        <v>2.2000000000000002</v>
      </c>
      <c r="AK60" s="7">
        <v>320.75</v>
      </c>
      <c r="AL60" s="5">
        <f t="shared" si="14"/>
        <v>3066.834221924621</v>
      </c>
      <c r="AM60" s="5">
        <f t="shared" si="15"/>
        <v>2961.464599063002</v>
      </c>
      <c r="AN60" s="5">
        <f t="shared" si="16"/>
        <v>438.52398028480502</v>
      </c>
      <c r="AO60" s="5">
        <f t="shared" si="17"/>
        <v>543.89360314642408</v>
      </c>
      <c r="AP60" s="5">
        <f t="shared" si="18"/>
        <v>80.626794973859617</v>
      </c>
      <c r="AQ60" s="5">
        <v>5.2366666666666664</v>
      </c>
      <c r="AR60" s="5">
        <v>5.2549999999999999</v>
      </c>
      <c r="AS60" s="5">
        <v>31</v>
      </c>
      <c r="AT60" s="5">
        <v>357.37333333333328</v>
      </c>
      <c r="AU60" s="5">
        <f>((AR60-AQ60)/(20.9-AR60))*90</f>
        <v>0.10546500479386502</v>
      </c>
      <c r="AV60" s="5">
        <f t="shared" si="20"/>
        <v>123.04647240100789</v>
      </c>
      <c r="AW60" s="6">
        <f t="shared" si="21"/>
        <v>71.797183470562985</v>
      </c>
      <c r="AX60" s="7">
        <v>169.923</v>
      </c>
      <c r="AY60" s="5">
        <f t="shared" si="11"/>
        <v>721202211.16620302</v>
      </c>
      <c r="AZ60" s="5">
        <f t="shared" si="13"/>
        <v>2564.9129069144428</v>
      </c>
      <c r="BA60" s="5">
        <f t="shared" si="22"/>
        <v>2737.9514377822834</v>
      </c>
      <c r="BB60" s="7">
        <v>296.54000000000002</v>
      </c>
      <c r="BC60" s="7">
        <v>281.18</v>
      </c>
      <c r="BD60" s="7">
        <v>4244.2883609999999</v>
      </c>
    </row>
    <row r="61" spans="1:56" x14ac:dyDescent="0.2">
      <c r="A61" s="2">
        <v>60</v>
      </c>
      <c r="B61" s="4">
        <v>45350</v>
      </c>
      <c r="C61" s="5">
        <v>832.75602467854821</v>
      </c>
      <c r="D61" s="5">
        <v>567.80721282959064</v>
      </c>
      <c r="E61" s="5">
        <v>14.205074866612749</v>
      </c>
      <c r="F61" s="5">
        <v>566.26959991455078</v>
      </c>
      <c r="G61" s="5">
        <v>95.603244781494141</v>
      </c>
      <c r="H61" s="5">
        <v>0.59739936556312989</v>
      </c>
      <c r="I61" s="5">
        <v>229.49618371327699</v>
      </c>
      <c r="J61" s="5">
        <v>820.69098154703772</v>
      </c>
      <c r="K61" s="5">
        <v>122.6903979513381</v>
      </c>
      <c r="L61" s="5">
        <v>4.8259352644284563</v>
      </c>
      <c r="M61" s="5">
        <v>565.56872177124058</v>
      </c>
      <c r="N61" s="5">
        <v>14.119683782259621</v>
      </c>
      <c r="O61" s="5">
        <v>566.26959991455078</v>
      </c>
      <c r="P61" s="5">
        <v>1.9703795214494071</v>
      </c>
      <c r="Q61" s="5">
        <v>10.347079078356421</v>
      </c>
      <c r="R61" s="5">
        <v>2.1984999130169531</v>
      </c>
      <c r="S61" s="5">
        <v>15.457178990046179</v>
      </c>
      <c r="T61" s="5">
        <v>-93.135278807746047</v>
      </c>
      <c r="U61" s="5">
        <v>35.677755435307823</v>
      </c>
      <c r="V61" s="5">
        <v>440.26077849955101</v>
      </c>
      <c r="W61" s="5">
        <v>173.58924689799289</v>
      </c>
      <c r="X61" s="5">
        <v>393.47524979188682</v>
      </c>
      <c r="Y61" s="5">
        <v>97704.835257546147</v>
      </c>
      <c r="Z61" s="5">
        <v>6.6489368325123204</v>
      </c>
      <c r="AA61" s="5">
        <v>11.828209443198521</v>
      </c>
      <c r="AB61" s="5">
        <v>94.584457028314475</v>
      </c>
      <c r="AC61" s="5">
        <v>-0.2473344661284069</v>
      </c>
      <c r="AD61" s="5">
        <v>455.18498400260881</v>
      </c>
      <c r="AE61" s="5">
        <v>49.703589003428931</v>
      </c>
      <c r="AF61" s="5">
        <v>5.965636383149028</v>
      </c>
      <c r="AG61" s="7">
        <v>93.64</v>
      </c>
      <c r="AH61" s="5">
        <f t="shared" si="1"/>
        <v>3506.1348688859057</v>
      </c>
      <c r="AI61" s="5">
        <f t="shared" si="2"/>
        <v>6.6128849638141132</v>
      </c>
      <c r="AJ61" s="7">
        <v>2.2000000000000002</v>
      </c>
      <c r="AK61" s="7">
        <v>320.26</v>
      </c>
      <c r="AL61" s="5">
        <f t="shared" si="14"/>
        <v>3065.7051257179805</v>
      </c>
      <c r="AM61" s="5">
        <f t="shared" si="15"/>
        <v>2960.1873761760371</v>
      </c>
      <c r="AN61" s="5">
        <f t="shared" si="16"/>
        <v>440.42974316792515</v>
      </c>
      <c r="AO61" s="5">
        <f t="shared" si="17"/>
        <v>545.94749270986858</v>
      </c>
      <c r="AP61" s="5">
        <f t="shared" si="18"/>
        <v>80.672546178718605</v>
      </c>
      <c r="AQ61" s="5">
        <v>5.0083333333333329</v>
      </c>
      <c r="AR61" s="5">
        <v>5.1449999999999996</v>
      </c>
      <c r="AS61" s="5">
        <v>31</v>
      </c>
      <c r="AT61" s="5">
        <v>356.04666666666662</v>
      </c>
      <c r="AU61" s="5">
        <f t="shared" si="19"/>
        <v>0.78070453824182828</v>
      </c>
      <c r="AV61" s="5">
        <f t="shared" si="20"/>
        <v>123.40622904927619</v>
      </c>
      <c r="AW61" s="6">
        <f t="shared" si="21"/>
        <v>71.571396194615275</v>
      </c>
      <c r="AX61" s="7">
        <v>167.42699999999999</v>
      </c>
      <c r="AY61" s="5">
        <f t="shared" si="11"/>
        <v>710608467.41714692</v>
      </c>
      <c r="AZ61" s="5">
        <f t="shared" si="13"/>
        <v>2524.6330600673141</v>
      </c>
      <c r="BA61" s="5">
        <f t="shared" si="22"/>
        <v>2696.1053610287422</v>
      </c>
      <c r="BB61" s="7">
        <v>296.76</v>
      </c>
      <c r="BC61" s="7">
        <v>281.47000000000003</v>
      </c>
      <c r="BD61" s="7">
        <v>4244.2883609999999</v>
      </c>
    </row>
    <row r="62" spans="1:56" x14ac:dyDescent="0.2">
      <c r="A62" s="2">
        <v>61</v>
      </c>
      <c r="B62" s="4">
        <v>45351</v>
      </c>
      <c r="C62" s="5">
        <v>827.19249725341797</v>
      </c>
      <c r="D62" s="5">
        <v>567.82598622639978</v>
      </c>
      <c r="E62" s="5">
        <v>14.152859942118329</v>
      </c>
      <c r="F62" s="5">
        <v>566.77885182698571</v>
      </c>
      <c r="G62" s="5">
        <v>94.441577275594071</v>
      </c>
      <c r="H62" s="5">
        <v>2.08021530463399</v>
      </c>
      <c r="I62" s="5">
        <v>229.2174647649129</v>
      </c>
      <c r="J62" s="5">
        <v>816.40857187906897</v>
      </c>
      <c r="K62" s="5">
        <v>122.18061680263951</v>
      </c>
      <c r="L62" s="5">
        <v>5.0252556204795837</v>
      </c>
      <c r="M62" s="5">
        <v>565.84973653157556</v>
      </c>
      <c r="N62" s="5">
        <v>14.06863756974538</v>
      </c>
      <c r="O62" s="5">
        <v>566.77885182698571</v>
      </c>
      <c r="P62" s="5">
        <v>1.957789674401283</v>
      </c>
      <c r="Q62" s="5">
        <v>10.28784966468811</v>
      </c>
      <c r="R62" s="5">
        <v>2.1841779996951409</v>
      </c>
      <c r="S62" s="5">
        <v>15.384658217430109</v>
      </c>
      <c r="T62" s="5">
        <v>-93.129086070590617</v>
      </c>
      <c r="U62" s="5">
        <v>35.726895888646453</v>
      </c>
      <c r="V62" s="5">
        <v>457.3845897522171</v>
      </c>
      <c r="W62" s="5">
        <v>171.8181902434674</v>
      </c>
      <c r="X62" s="5">
        <v>399.5407342803905</v>
      </c>
      <c r="Y62" s="5">
        <v>97063.68676182699</v>
      </c>
      <c r="Z62" s="5">
        <v>6.741884066784011</v>
      </c>
      <c r="AA62" s="5">
        <v>11.83032308564975</v>
      </c>
      <c r="AB62" s="5">
        <v>86.967920456985226</v>
      </c>
      <c r="AC62" s="5">
        <v>-0.22633203729255841</v>
      </c>
      <c r="AD62" s="5">
        <v>455.26632330505947</v>
      </c>
      <c r="AE62" s="5">
        <v>49.711210441318791</v>
      </c>
      <c r="AF62" s="5">
        <v>4.0862806144080004</v>
      </c>
      <c r="AG62" s="7">
        <v>93.679999999999993</v>
      </c>
      <c r="AH62" s="5">
        <f t="shared" si="1"/>
        <v>3506.6928887625331</v>
      </c>
      <c r="AI62" s="5">
        <f t="shared" si="2"/>
        <v>6.6151110654510132</v>
      </c>
      <c r="AJ62" s="7">
        <v>2.19</v>
      </c>
      <c r="AK62" s="7">
        <v>320.5</v>
      </c>
      <c r="AL62" s="5">
        <f t="shared" si="14"/>
        <v>3066.5115685679398</v>
      </c>
      <c r="AM62" s="5">
        <f t="shared" si="15"/>
        <v>2960.3338103738456</v>
      </c>
      <c r="AN62" s="5">
        <f t="shared" si="16"/>
        <v>440.18132019459335</v>
      </c>
      <c r="AO62" s="5">
        <f t="shared" si="17"/>
        <v>546.35907838868752</v>
      </c>
      <c r="AP62" s="5">
        <f t="shared" si="18"/>
        <v>80.566304762935076</v>
      </c>
      <c r="AQ62" s="5">
        <v>5.0066666666666668</v>
      </c>
      <c r="AR62" s="5">
        <v>5.21</v>
      </c>
      <c r="AS62" s="5">
        <v>31</v>
      </c>
      <c r="AT62" s="5">
        <v>353.80833333333334</v>
      </c>
      <c r="AU62" s="5">
        <f t="shared" si="19"/>
        <v>1.1663479923518154</v>
      </c>
      <c r="AV62" s="5">
        <f t="shared" si="20"/>
        <v>123.24410009613109</v>
      </c>
      <c r="AW62" s="6">
        <f t="shared" si="21"/>
        <v>71.424498511666542</v>
      </c>
      <c r="AX62" s="7">
        <v>167.17400000000001</v>
      </c>
      <c r="AY62" s="5">
        <f t="shared" si="11"/>
        <v>709534662.46181405</v>
      </c>
      <c r="AZ62" s="5">
        <f t="shared" si="13"/>
        <v>2539.6759340747872</v>
      </c>
      <c r="BA62" s="5">
        <f t="shared" si="22"/>
        <v>2711.0118852207379</v>
      </c>
      <c r="BB62" s="7">
        <v>295.02999999999997</v>
      </c>
      <c r="BC62" s="7">
        <v>279.38</v>
      </c>
      <c r="BD62" s="7">
        <v>4244.2883609999999</v>
      </c>
    </row>
    <row r="63" spans="1:56" s="9" customFormat="1" x14ac:dyDescent="0.2">
      <c r="A63" s="3">
        <v>62</v>
      </c>
      <c r="B63" s="8"/>
    </row>
    <row r="64" spans="1:56" x14ac:dyDescent="0.2">
      <c r="A64" s="2">
        <v>63</v>
      </c>
      <c r="B64" s="4">
        <v>45352</v>
      </c>
      <c r="C64" s="5">
        <v>838.24395497639978</v>
      </c>
      <c r="D64" s="5">
        <v>567.19319152832088</v>
      </c>
      <c r="E64" s="5">
        <v>14.20613588492076</v>
      </c>
      <c r="F64" s="5">
        <v>566.81191507975257</v>
      </c>
      <c r="G64" s="5">
        <v>94.572830200195312</v>
      </c>
      <c r="H64" s="5">
        <v>5.0375183765621232</v>
      </c>
      <c r="I64" s="5">
        <v>229.79963811238599</v>
      </c>
      <c r="J64" s="5">
        <v>821.68247477213538</v>
      </c>
      <c r="K64" s="5">
        <v>123.8239527808296</v>
      </c>
      <c r="L64" s="5">
        <v>5.0447517832120257</v>
      </c>
      <c r="M64" s="5">
        <v>565.31989542643294</v>
      </c>
      <c r="N64" s="5">
        <v>14.11922578016917</v>
      </c>
      <c r="O64" s="5">
        <v>566.81191507975257</v>
      </c>
      <c r="P64" s="5">
        <v>1.984602242708206</v>
      </c>
      <c r="Q64" s="5">
        <v>10.39077166716258</v>
      </c>
      <c r="R64" s="5">
        <v>2.2135008871555328</v>
      </c>
      <c r="S64" s="5">
        <v>15.452172239621479</v>
      </c>
      <c r="T64" s="5">
        <v>-92.989508681827076</v>
      </c>
      <c r="U64" s="5">
        <v>36.096060514450073</v>
      </c>
      <c r="V64" s="5">
        <v>343.67341440044152</v>
      </c>
      <c r="W64" s="5">
        <v>168.4440998114024</v>
      </c>
      <c r="X64" s="5">
        <v>405.7732069215665</v>
      </c>
      <c r="Y64" s="5">
        <v>98061.686500051423</v>
      </c>
      <c r="Z64" s="5">
        <v>6.6048990903669571</v>
      </c>
      <c r="AA64" s="5">
        <v>11.815065955301611</v>
      </c>
      <c r="AB64" s="5">
        <v>97.872870635985464</v>
      </c>
      <c r="AC64" s="5">
        <v>-0.24597006065449781</v>
      </c>
      <c r="AD64" s="5">
        <v>454.67918315787222</v>
      </c>
      <c r="AE64" s="5">
        <v>49.698414492990203</v>
      </c>
      <c r="AF64" s="5">
        <v>10.99311686587018</v>
      </c>
      <c r="AG64" s="7">
        <v>93.69</v>
      </c>
      <c r="AH64" s="5">
        <f t="shared" si="1"/>
        <v>3504.5045906933005</v>
      </c>
      <c r="AI64" s="5">
        <f t="shared" si="2"/>
        <v>6.6109139756270894</v>
      </c>
      <c r="AJ64" s="7">
        <v>2.21</v>
      </c>
      <c r="AK64" s="7">
        <v>321.3</v>
      </c>
      <c r="AL64" s="5">
        <f t="shared" ref="AL64:AL93" si="23">h_pt(AJ64*10,AK64)</f>
        <v>3067.8487045619477</v>
      </c>
      <c r="AM64" s="5">
        <f t="shared" ref="AM64:AM93" si="24">h_ps(AJ64*10,AI64)</f>
        <v>2960.1757615504289</v>
      </c>
      <c r="AN64" s="5">
        <f t="shared" ref="AN64:AN93" si="25">+AH64-AL64</f>
        <v>436.65588613135287</v>
      </c>
      <c r="AO64" s="5">
        <f t="shared" ref="AO64:AO93" si="26">+AH64-AM64</f>
        <v>544.32882914287165</v>
      </c>
      <c r="AP64" s="5">
        <f t="shared" ref="AP64:AP93" si="27">+(AN64/AO64)*100</f>
        <v>80.219136439812274</v>
      </c>
      <c r="AQ64" s="5">
        <v>4.99</v>
      </c>
      <c r="AR64" s="5">
        <v>5.12</v>
      </c>
      <c r="AS64" s="5">
        <v>33</v>
      </c>
      <c r="AT64" s="5">
        <v>357</v>
      </c>
      <c r="AU64" s="5">
        <f t="shared" ref="AU64:AU94" si="28">((AR64-AQ64)/(20.9-AR64))*90</f>
        <v>0.74144486692015166</v>
      </c>
      <c r="AV64" s="5">
        <f>K64+((AU64*(K64-AS64))/100)</f>
        <v>124.49736231665705</v>
      </c>
      <c r="AW64" s="6">
        <f>((AT64-AV64)/(AT64-AS64))*100</f>
        <v>71.760073359056463</v>
      </c>
      <c r="AX64" s="6">
        <v>169.89</v>
      </c>
      <c r="AY64" s="5">
        <f t="shared" si="11"/>
        <v>725770080</v>
      </c>
      <c r="AZ64" s="5">
        <f t="shared" si="13"/>
        <v>2569.4614458684414</v>
      </c>
      <c r="BA64" s="5">
        <f t="shared" ref="BA64:BA94" si="29">+(AZ64/AG64)*100</f>
        <v>2742.5140846071527</v>
      </c>
      <c r="BB64" s="6">
        <v>298.12</v>
      </c>
      <c r="BC64" s="6">
        <v>282.45999999999998</v>
      </c>
      <c r="BD64" s="6">
        <v>4272</v>
      </c>
    </row>
    <row r="65" spans="1:56" x14ac:dyDescent="0.2">
      <c r="A65" s="2">
        <v>64</v>
      </c>
      <c r="B65" s="4">
        <v>45353</v>
      </c>
      <c r="C65" s="5">
        <v>825.50950113932288</v>
      </c>
      <c r="D65" s="5">
        <v>566.9980824788413</v>
      </c>
      <c r="E65" s="5">
        <v>13.94677772521973</v>
      </c>
      <c r="F65" s="5">
        <v>565.62250010172522</v>
      </c>
      <c r="G65" s="5">
        <v>94.915423075358078</v>
      </c>
      <c r="H65" s="5">
        <v>6.0956723897252232</v>
      </c>
      <c r="I65" s="5">
        <v>228.96675523122121</v>
      </c>
      <c r="J65" s="5">
        <v>813.09857432047522</v>
      </c>
      <c r="K65" s="5">
        <v>123.0961153242325</v>
      </c>
      <c r="L65" s="5">
        <v>5.0055855313936872</v>
      </c>
      <c r="M65" s="5">
        <v>564.96817652384459</v>
      </c>
      <c r="N65" s="5">
        <v>13.86084775129954</v>
      </c>
      <c r="O65" s="5">
        <v>565.62250010172522</v>
      </c>
      <c r="P65" s="5">
        <v>1.9544018407662711</v>
      </c>
      <c r="Q65" s="5">
        <v>10.23889215787252</v>
      </c>
      <c r="R65" s="5">
        <v>2.179447268446284</v>
      </c>
      <c r="S65" s="5">
        <v>15.1919713417689</v>
      </c>
      <c r="T65" s="5">
        <v>-93.290105501810729</v>
      </c>
      <c r="U65" s="5">
        <v>35.297957817713431</v>
      </c>
      <c r="V65" s="5">
        <v>362.46047168569947</v>
      </c>
      <c r="W65" s="5">
        <v>182.92793708471919</v>
      </c>
      <c r="X65" s="5">
        <v>411.3039824256677</v>
      </c>
      <c r="Y65" s="5">
        <v>97702.352989805688</v>
      </c>
      <c r="Z65" s="5">
        <v>6.6980345941609256</v>
      </c>
      <c r="AA65" s="5">
        <v>11.769636898936151</v>
      </c>
      <c r="AB65" s="5">
        <v>96.719948040468921</v>
      </c>
      <c r="AC65" s="5">
        <v>-0.24788613734755099</v>
      </c>
      <c r="AD65" s="5">
        <v>452.93093678175961</v>
      </c>
      <c r="AE65" s="5">
        <v>49.706107019410162</v>
      </c>
      <c r="AF65" s="5">
        <v>8.6310446842995407</v>
      </c>
      <c r="AG65" s="7">
        <v>93.589999999999989</v>
      </c>
      <c r="AH65" s="5">
        <f t="shared" si="1"/>
        <v>3506.521456720277</v>
      </c>
      <c r="AI65" s="5">
        <f t="shared" si="2"/>
        <v>6.621135076556067</v>
      </c>
      <c r="AJ65" s="7">
        <v>2.1800000000000002</v>
      </c>
      <c r="AK65" s="7">
        <v>320.99</v>
      </c>
      <c r="AL65" s="5">
        <f t="shared" si="23"/>
        <v>3067.8919859685175</v>
      </c>
      <c r="AM65" s="5">
        <f t="shared" si="24"/>
        <v>2962.5606124243263</v>
      </c>
      <c r="AN65" s="5">
        <f t="shared" si="25"/>
        <v>438.62947075175953</v>
      </c>
      <c r="AO65" s="5">
        <f t="shared" si="26"/>
        <v>543.96084429595066</v>
      </c>
      <c r="AP65" s="5">
        <f t="shared" si="27"/>
        <v>80.636221402935405</v>
      </c>
      <c r="AQ65" s="5">
        <v>4.97</v>
      </c>
      <c r="AR65" s="5">
        <v>5.3</v>
      </c>
      <c r="AS65" s="5">
        <v>30</v>
      </c>
      <c r="AT65" s="5">
        <v>358.84</v>
      </c>
      <c r="AU65" s="5">
        <f t="shared" si="28"/>
        <v>1.9038461538461546</v>
      </c>
      <c r="AV65" s="5">
        <f t="shared" ref="AV65:AV94" si="30">K65+((AU65*(K65-AS65))/100)</f>
        <v>124.86852213521308</v>
      </c>
      <c r="AW65" s="6">
        <f t="shared" ref="AW65:AW94" si="31">((AT65-AV65)/(AT65-AS65))*100</f>
        <v>71.15055281133283</v>
      </c>
      <c r="AX65" s="6">
        <v>168.815</v>
      </c>
      <c r="AY65" s="5">
        <f t="shared" si="11"/>
        <v>721177679.99999988</v>
      </c>
      <c r="AZ65" s="5">
        <f t="shared" si="13"/>
        <v>2587.3701431492836</v>
      </c>
      <c r="BA65" s="5">
        <f t="shared" si="29"/>
        <v>2764.5797020507362</v>
      </c>
      <c r="BB65" s="6">
        <v>294.05</v>
      </c>
      <c r="BC65" s="6">
        <v>278.73</v>
      </c>
      <c r="BD65" s="6">
        <v>4272</v>
      </c>
    </row>
    <row r="66" spans="1:56" x14ac:dyDescent="0.2">
      <c r="A66" s="2">
        <v>65</v>
      </c>
      <c r="B66" s="4">
        <v>45354</v>
      </c>
      <c r="C66" s="5">
        <v>826.74196879069007</v>
      </c>
      <c r="D66" s="5">
        <v>567.05894978841206</v>
      </c>
      <c r="E66" s="5">
        <v>13.92454460461934</v>
      </c>
      <c r="F66" s="5">
        <v>566.09950256347656</v>
      </c>
      <c r="G66" s="5">
        <v>92.742510477701828</v>
      </c>
      <c r="H66" s="5">
        <v>4.9950407283567202</v>
      </c>
      <c r="I66" s="5">
        <v>229.08785661061609</v>
      </c>
      <c r="J66" s="5">
        <v>813.15722401936853</v>
      </c>
      <c r="K66" s="5">
        <v>121.89240561591259</v>
      </c>
      <c r="L66" s="5">
        <v>5.0227472384770708</v>
      </c>
      <c r="M66" s="5">
        <v>565.05050913492903</v>
      </c>
      <c r="N66" s="5">
        <v>13.83761390050252</v>
      </c>
      <c r="O66" s="5">
        <v>566.09950256347656</v>
      </c>
      <c r="P66" s="5">
        <v>1.9563704530398049</v>
      </c>
      <c r="Q66" s="5">
        <v>10.26009472211202</v>
      </c>
      <c r="R66" s="5">
        <v>2.1827969352404262</v>
      </c>
      <c r="S66" s="5">
        <v>15.177824854850771</v>
      </c>
      <c r="T66" s="5">
        <v>-93.083752579159224</v>
      </c>
      <c r="U66" s="5">
        <v>35.899515469868987</v>
      </c>
      <c r="V66" s="5">
        <v>300.03873562694679</v>
      </c>
      <c r="W66" s="5">
        <v>172.16695943963259</v>
      </c>
      <c r="X66" s="5">
        <v>416.98675467010241</v>
      </c>
      <c r="Y66" s="5">
        <v>98409.919216044524</v>
      </c>
      <c r="Z66" s="5">
        <v>6.6157271269463669</v>
      </c>
      <c r="AA66" s="5">
        <v>11.397427006794169</v>
      </c>
      <c r="AB66" s="5">
        <v>102.0545181088095</v>
      </c>
      <c r="AC66" s="5">
        <v>-0.25844413939127958</v>
      </c>
      <c r="AD66" s="5">
        <v>438.60718350245929</v>
      </c>
      <c r="AE66" s="5">
        <v>49.702050842469873</v>
      </c>
      <c r="AF66" s="5">
        <v>11.35474959519893</v>
      </c>
      <c r="AG66" s="7">
        <v>93.69</v>
      </c>
      <c r="AH66" s="5">
        <f t="shared" si="1"/>
        <v>3506.8981753624757</v>
      </c>
      <c r="AI66" s="5">
        <f t="shared" si="2"/>
        <v>6.6222612315823737</v>
      </c>
      <c r="AJ66" s="7">
        <v>2.1800000000000002</v>
      </c>
      <c r="AK66" s="7">
        <v>321.05</v>
      </c>
      <c r="AL66" s="5">
        <f t="shared" si="23"/>
        <v>3068.0299794209509</v>
      </c>
      <c r="AM66" s="5">
        <f t="shared" si="24"/>
        <v>2963.1796697200198</v>
      </c>
      <c r="AN66" s="5">
        <f t="shared" si="25"/>
        <v>438.86819594152485</v>
      </c>
      <c r="AO66" s="5">
        <f t="shared" si="26"/>
        <v>543.71850564245597</v>
      </c>
      <c r="AP66" s="5">
        <f t="shared" si="27"/>
        <v>80.716067484765787</v>
      </c>
      <c r="AQ66" s="5">
        <v>4.92</v>
      </c>
      <c r="AR66" s="5">
        <v>5.34</v>
      </c>
      <c r="AS66" s="5">
        <v>33</v>
      </c>
      <c r="AT66" s="5">
        <v>357.67</v>
      </c>
      <c r="AU66" s="5">
        <f t="shared" si="28"/>
        <v>2.4293059125964005</v>
      </c>
      <c r="AV66" s="5">
        <f t="shared" si="30"/>
        <v>124.05187408138913</v>
      </c>
      <c r="AW66" s="6">
        <f t="shared" si="31"/>
        <v>71.955562854162963</v>
      </c>
      <c r="AX66" s="6">
        <v>164.58099999999999</v>
      </c>
      <c r="AY66" s="5">
        <f t="shared" si="11"/>
        <v>703090032</v>
      </c>
      <c r="AZ66" s="5">
        <f t="shared" si="13"/>
        <v>2524.107097469036</v>
      </c>
      <c r="BA66" s="5">
        <f t="shared" si="29"/>
        <v>2694.1051312509726</v>
      </c>
      <c r="BB66" s="6">
        <v>294.12</v>
      </c>
      <c r="BC66" s="6">
        <v>278.55</v>
      </c>
      <c r="BD66" s="6">
        <v>4272</v>
      </c>
    </row>
    <row r="67" spans="1:56" x14ac:dyDescent="0.2">
      <c r="A67" s="2">
        <v>66</v>
      </c>
      <c r="B67" s="4">
        <v>45355</v>
      </c>
      <c r="C67" s="5">
        <v>826.1402689615885</v>
      </c>
      <c r="D67" s="5">
        <v>567.33456929524755</v>
      </c>
      <c r="E67" s="5">
        <v>13.984925587972009</v>
      </c>
      <c r="F67" s="5">
        <v>566.75195058186853</v>
      </c>
      <c r="G67" s="5">
        <v>105.99631182352699</v>
      </c>
      <c r="H67" s="5">
        <v>2.5784881954313859</v>
      </c>
      <c r="I67" s="5">
        <v>229.1323232650756</v>
      </c>
      <c r="J67" s="5">
        <v>815.90311177571618</v>
      </c>
      <c r="K67" s="5">
        <v>120.91301457087209</v>
      </c>
      <c r="L67" s="5">
        <v>4.8935633301734924</v>
      </c>
      <c r="M67" s="5">
        <v>565.48904291788813</v>
      </c>
      <c r="N67" s="5">
        <v>13.89632833003998</v>
      </c>
      <c r="O67" s="5">
        <v>566.75195058186853</v>
      </c>
      <c r="P67" s="5">
        <v>1.9553785473108289</v>
      </c>
      <c r="Q67" s="5">
        <v>10.270309646924339</v>
      </c>
      <c r="R67" s="5">
        <v>2.181370084484417</v>
      </c>
      <c r="S67" s="5">
        <v>15.213230888048811</v>
      </c>
      <c r="T67" s="5">
        <v>-93.087709320916119</v>
      </c>
      <c r="U67" s="5">
        <v>35.89232858022055</v>
      </c>
      <c r="V67" s="5">
        <v>352.00464854914208</v>
      </c>
      <c r="W67" s="5">
        <v>180.79584758426341</v>
      </c>
      <c r="X67" s="5">
        <v>422.60023333113747</v>
      </c>
      <c r="Y67" s="5">
        <v>98592.527054555496</v>
      </c>
      <c r="Z67" s="5">
        <v>6.6066291587299553</v>
      </c>
      <c r="AA67" s="5">
        <v>11.30452533442735</v>
      </c>
      <c r="AB67" s="5">
        <v>101.3736774113403</v>
      </c>
      <c r="AC67" s="5">
        <v>-0.25375096971450301</v>
      </c>
      <c r="AD67" s="5">
        <v>435.03204844476772</v>
      </c>
      <c r="AE67" s="5">
        <v>49.701085565759762</v>
      </c>
      <c r="AF67" s="5">
        <v>13.58136676161805</v>
      </c>
      <c r="AG67" s="7">
        <v>93.76</v>
      </c>
      <c r="AH67" s="5">
        <f t="shared" si="1"/>
        <v>3507.0345038611654</v>
      </c>
      <c r="AI67" s="5">
        <f t="shared" si="2"/>
        <v>6.6205853490648865</v>
      </c>
      <c r="AJ67" s="7">
        <v>2.1800000000000002</v>
      </c>
      <c r="AK67" s="7">
        <v>321.5</v>
      </c>
      <c r="AL67" s="5">
        <f t="shared" si="23"/>
        <v>3069.0646784775167</v>
      </c>
      <c r="AM67" s="5">
        <f t="shared" si="24"/>
        <v>2962.2585254714591</v>
      </c>
      <c r="AN67" s="5">
        <f t="shared" si="25"/>
        <v>437.96982538364864</v>
      </c>
      <c r="AO67" s="5">
        <f t="shared" si="26"/>
        <v>544.77597838970632</v>
      </c>
      <c r="AP67" s="5">
        <f t="shared" si="27"/>
        <v>80.394481907634017</v>
      </c>
      <c r="AQ67" s="5">
        <v>4.92</v>
      </c>
      <c r="AR67" s="5">
        <v>5.27</v>
      </c>
      <c r="AS67" s="5">
        <v>32</v>
      </c>
      <c r="AT67" s="5">
        <v>352.93</v>
      </c>
      <c r="AU67" s="5">
        <f t="shared" si="28"/>
        <v>2.0153550863723591</v>
      </c>
      <c r="AV67" s="5">
        <f t="shared" si="30"/>
        <v>122.70492753247316</v>
      </c>
      <c r="AW67" s="6">
        <f t="shared" si="31"/>
        <v>71.73684992600468</v>
      </c>
      <c r="AX67" s="6">
        <v>166.53200000000001</v>
      </c>
      <c r="AY67" s="5">
        <f t="shared" si="11"/>
        <v>711424704</v>
      </c>
      <c r="AZ67" s="5">
        <f t="shared" si="13"/>
        <v>2554.4872675044885</v>
      </c>
      <c r="BA67" s="5">
        <f t="shared" si="29"/>
        <v>2724.4958057855038</v>
      </c>
      <c r="BB67" s="6">
        <v>294.07</v>
      </c>
      <c r="BC67" s="6">
        <v>278.5</v>
      </c>
      <c r="BD67" s="6">
        <v>4272</v>
      </c>
    </row>
    <row r="68" spans="1:56" x14ac:dyDescent="0.2">
      <c r="A68" s="2">
        <v>67</v>
      </c>
      <c r="B68" s="4">
        <v>45356</v>
      </c>
      <c r="C68" s="5">
        <v>836.81674702962243</v>
      </c>
      <c r="D68" s="5">
        <v>567.49214299519917</v>
      </c>
      <c r="E68" s="5">
        <v>14.122073396046961</v>
      </c>
      <c r="F68" s="5">
        <v>566.72961171468103</v>
      </c>
      <c r="G68" s="5">
        <v>111.4935471216838</v>
      </c>
      <c r="H68" s="5">
        <v>6.6160682198680361</v>
      </c>
      <c r="I68" s="5">
        <v>229.71264457702631</v>
      </c>
      <c r="J68" s="5">
        <v>820.65772247314453</v>
      </c>
      <c r="K68" s="5">
        <v>122.5177707672119</v>
      </c>
      <c r="L68" s="5">
        <v>4.5004609425862627</v>
      </c>
      <c r="M68" s="5">
        <v>565.4290962219244</v>
      </c>
      <c r="N68" s="5">
        <v>14.035102844238279</v>
      </c>
      <c r="O68" s="5">
        <v>566.72961171468103</v>
      </c>
      <c r="P68" s="5">
        <v>1.9806955854098001</v>
      </c>
      <c r="Q68" s="5">
        <v>10.379726886749269</v>
      </c>
      <c r="R68" s="5">
        <v>2.2088464597860979</v>
      </c>
      <c r="S68" s="5">
        <v>15.319568276405329</v>
      </c>
      <c r="T68" s="5">
        <v>-93.124897321065262</v>
      </c>
      <c r="U68" s="5">
        <v>35.756546099980667</v>
      </c>
      <c r="V68" s="5">
        <v>324.60251783573352</v>
      </c>
      <c r="W68" s="5">
        <v>173.09590310780879</v>
      </c>
      <c r="X68" s="5">
        <v>428.09366774857119</v>
      </c>
      <c r="Y68" s="5">
        <v>99917.861790661278</v>
      </c>
      <c r="Z68" s="5">
        <v>6.4338491417939778</v>
      </c>
      <c r="AA68" s="5">
        <v>11.37925211607247</v>
      </c>
      <c r="AB68" s="5">
        <v>102.4238317815671</v>
      </c>
      <c r="AC68" s="5">
        <v>-0.2594073899501001</v>
      </c>
      <c r="AD68" s="5">
        <v>437.90775918281679</v>
      </c>
      <c r="AE68" s="5">
        <v>49.701617065850662</v>
      </c>
      <c r="AF68" s="5">
        <v>12.988060361466109</v>
      </c>
      <c r="AG68" s="7">
        <v>93.78</v>
      </c>
      <c r="AH68" s="5">
        <f t="shared" si="1"/>
        <v>3506.11302531305</v>
      </c>
      <c r="AI68" s="5">
        <f t="shared" si="2"/>
        <v>6.6153456027870385</v>
      </c>
      <c r="AJ68" s="7">
        <v>2.21</v>
      </c>
      <c r="AK68" s="7">
        <v>321.61</v>
      </c>
      <c r="AL68" s="5">
        <f t="shared" si="23"/>
        <v>3068.562870129073</v>
      </c>
      <c r="AM68" s="5">
        <f t="shared" si="24"/>
        <v>2962.6110880339647</v>
      </c>
      <c r="AN68" s="5">
        <f t="shared" si="25"/>
        <v>437.55015518397704</v>
      </c>
      <c r="AO68" s="5">
        <f t="shared" si="26"/>
        <v>543.50193727908527</v>
      </c>
      <c r="AP68" s="5">
        <f t="shared" si="27"/>
        <v>80.50572135482517</v>
      </c>
      <c r="AQ68" s="5">
        <v>4.74</v>
      </c>
      <c r="AR68" s="5">
        <v>5.1100000000000003</v>
      </c>
      <c r="AS68" s="5">
        <v>33</v>
      </c>
      <c r="AT68" s="5">
        <v>352.29</v>
      </c>
      <c r="AU68" s="5">
        <f t="shared" si="28"/>
        <v>2.1089297023432558</v>
      </c>
      <c r="AV68" s="5">
        <f t="shared" si="30"/>
        <v>124.40563762379718</v>
      </c>
      <c r="AW68" s="6">
        <f t="shared" si="31"/>
        <v>71.372220356479318</v>
      </c>
      <c r="AX68" s="6">
        <v>167.113</v>
      </c>
      <c r="AY68" s="5">
        <f t="shared" si="11"/>
        <v>713906736</v>
      </c>
      <c r="AZ68" s="5">
        <f t="shared" si="13"/>
        <v>2527.371883739866</v>
      </c>
      <c r="BA68" s="5">
        <f t="shared" si="29"/>
        <v>2695.0009423543038</v>
      </c>
      <c r="BB68" s="6">
        <v>297.89999999999998</v>
      </c>
      <c r="BC68" s="6">
        <v>282.47000000000003</v>
      </c>
      <c r="BD68" s="6">
        <v>4272</v>
      </c>
    </row>
    <row r="69" spans="1:56" x14ac:dyDescent="0.2">
      <c r="A69" s="2">
        <v>68</v>
      </c>
      <c r="B69" s="4">
        <v>45357</v>
      </c>
      <c r="C69" s="5">
        <v>822.660878499349</v>
      </c>
      <c r="D69" s="5">
        <v>567.53423563639319</v>
      </c>
      <c r="E69" s="5">
        <v>13.93401007652283</v>
      </c>
      <c r="F69" s="5">
        <v>565.86416371663415</v>
      </c>
      <c r="G69" s="5">
        <v>78.764250834782914</v>
      </c>
      <c r="H69" s="5">
        <v>3.260570284036028</v>
      </c>
      <c r="I69" s="5">
        <v>240.3901904424032</v>
      </c>
      <c r="J69" s="5">
        <v>830.98639678955078</v>
      </c>
      <c r="K69" s="5">
        <v>122.61056481467359</v>
      </c>
      <c r="L69" s="5">
        <v>5.0623107552528381</v>
      </c>
      <c r="M69" s="5">
        <v>565.581249237061</v>
      </c>
      <c r="N69" s="5">
        <v>13.83984569708506</v>
      </c>
      <c r="O69" s="5">
        <v>565.86416371663415</v>
      </c>
      <c r="P69" s="5">
        <v>1.9455203016599021</v>
      </c>
      <c r="Q69" s="5">
        <v>10.45944364865621</v>
      </c>
      <c r="R69" s="5">
        <v>2.1713439921537998</v>
      </c>
      <c r="S69" s="5">
        <v>15.267909526824949</v>
      </c>
      <c r="T69" s="5">
        <v>-93.138954374525284</v>
      </c>
      <c r="U69" s="5">
        <v>35.75937334696453</v>
      </c>
      <c r="V69" s="5">
        <v>306.23154878936498</v>
      </c>
      <c r="W69" s="5">
        <v>196.32232265551909</v>
      </c>
      <c r="X69" s="5">
        <v>433.38753164469608</v>
      </c>
      <c r="Y69" s="5">
        <v>97520.436038694737</v>
      </c>
      <c r="Z69" s="5">
        <v>6.7173144790500503</v>
      </c>
      <c r="AA69" s="5">
        <v>11.395091798507391</v>
      </c>
      <c r="AB69" s="5">
        <v>103.62028589108149</v>
      </c>
      <c r="AC69" s="5">
        <v>-0.2570467172851742</v>
      </c>
      <c r="AD69" s="5">
        <v>438.51731768195941</v>
      </c>
      <c r="AE69" s="5">
        <v>49.695720659979912</v>
      </c>
      <c r="AF69" s="5">
        <v>16.039691365774349</v>
      </c>
      <c r="AG69" s="7">
        <v>93.66</v>
      </c>
      <c r="AH69" s="5">
        <f t="shared" ref="AH69:AH91" si="32">h_pt(E69*10,D69)</f>
        <v>3508.0550010182128</v>
      </c>
      <c r="AI69" s="5">
        <f t="shared" ref="AI69:AI91" si="33">s_pt(E69*10,D69)</f>
        <v>6.6233489395773502</v>
      </c>
      <c r="AJ69" s="7">
        <v>2.17</v>
      </c>
      <c r="AK69" s="7">
        <v>319.67</v>
      </c>
      <c r="AL69" s="5">
        <f t="shared" si="23"/>
        <v>3065.1084565017718</v>
      </c>
      <c r="AM69" s="5">
        <f t="shared" si="24"/>
        <v>2962.6893736289503</v>
      </c>
      <c r="AN69" s="5">
        <f t="shared" si="25"/>
        <v>442.94654451644101</v>
      </c>
      <c r="AO69" s="5">
        <f t="shared" si="26"/>
        <v>545.3656273892625</v>
      </c>
      <c r="AP69" s="5">
        <f t="shared" si="27"/>
        <v>81.220106708390261</v>
      </c>
      <c r="AQ69" s="5">
        <v>5.0199999999999996</v>
      </c>
      <c r="AR69" s="5">
        <v>5.01</v>
      </c>
      <c r="AS69" s="5">
        <v>33</v>
      </c>
      <c r="AT69" s="5">
        <v>355.83</v>
      </c>
      <c r="AU69" s="5">
        <f t="shared" si="28"/>
        <v>-5.6639395846443098E-2</v>
      </c>
      <c r="AV69" s="5">
        <f t="shared" si="30"/>
        <v>122.55980993214799</v>
      </c>
      <c r="AW69" s="6">
        <f t="shared" si="31"/>
        <v>72.257903561581031</v>
      </c>
      <c r="AX69" s="6">
        <v>161.892</v>
      </c>
      <c r="AY69" s="5">
        <f t="shared" ref="AY69:AY87" si="34">+AX69*BD69*1000</f>
        <v>691602624</v>
      </c>
      <c r="AZ69" s="5">
        <f t="shared" si="13"/>
        <v>2472.9238888690243</v>
      </c>
      <c r="BA69" s="5">
        <f t="shared" si="29"/>
        <v>2640.3201888415806</v>
      </c>
      <c r="BB69" s="6">
        <v>294.32</v>
      </c>
      <c r="BC69" s="6">
        <v>279.67</v>
      </c>
      <c r="BD69" s="6">
        <v>4272</v>
      </c>
    </row>
    <row r="70" spans="1:56" x14ac:dyDescent="0.2">
      <c r="A70" s="2">
        <v>69</v>
      </c>
      <c r="B70" s="4">
        <v>45358</v>
      </c>
      <c r="C70" s="5">
        <v>822.14058176676429</v>
      </c>
      <c r="D70" s="5">
        <v>567.76423772176145</v>
      </c>
      <c r="E70" s="5">
        <v>14.07568782170614</v>
      </c>
      <c r="F70" s="5">
        <v>566.54352569580078</v>
      </c>
      <c r="G70" s="5">
        <v>75.463281472524002</v>
      </c>
      <c r="H70" s="5">
        <v>1.5451898378475259</v>
      </c>
      <c r="I70" s="5">
        <v>248.62083339691171</v>
      </c>
      <c r="J70" s="5">
        <v>840.92667134602868</v>
      </c>
      <c r="K70" s="5">
        <v>122.3201152483622</v>
      </c>
      <c r="L70" s="5">
        <v>4.9905474781990051</v>
      </c>
      <c r="M70" s="5">
        <v>566.00904846191418</v>
      </c>
      <c r="N70" s="5">
        <v>13.97696046034495</v>
      </c>
      <c r="O70" s="5">
        <v>566.54352569580078</v>
      </c>
      <c r="P70" s="5">
        <v>1.944787825147311</v>
      </c>
      <c r="Q70" s="5">
        <v>10.58585699399312</v>
      </c>
      <c r="R70" s="5">
        <v>2.1710998167594249</v>
      </c>
      <c r="S70" s="5">
        <v>15.46011972427368</v>
      </c>
      <c r="T70" s="5">
        <v>-93.016480445861816</v>
      </c>
      <c r="U70" s="5">
        <v>35.955162048339851</v>
      </c>
      <c r="V70" s="5">
        <v>341.85983442709119</v>
      </c>
      <c r="W70" s="5">
        <v>157.2484308103578</v>
      </c>
      <c r="X70" s="5">
        <v>439.08651899111248</v>
      </c>
      <c r="Y70" s="5">
        <v>98318.211465057204</v>
      </c>
      <c r="Z70" s="5">
        <v>6.6145642948495533</v>
      </c>
      <c r="AA70" s="5">
        <v>11.41989691165621</v>
      </c>
      <c r="AB70" s="5">
        <v>102.49934588245419</v>
      </c>
      <c r="AC70" s="5">
        <v>-0.25831889993407509</v>
      </c>
      <c r="AD70" s="5">
        <v>439.47189285126609</v>
      </c>
      <c r="AE70" s="5">
        <v>49.698092057253007</v>
      </c>
      <c r="AF70" s="5">
        <v>18.017963574503849</v>
      </c>
      <c r="AG70" s="7">
        <v>93.66</v>
      </c>
      <c r="AH70" s="5">
        <f t="shared" si="32"/>
        <v>3507.281433137699</v>
      </c>
      <c r="AI70" s="5">
        <f t="shared" si="33"/>
        <v>6.6181318744539732</v>
      </c>
      <c r="AJ70" s="7">
        <v>2.1800000000000002</v>
      </c>
      <c r="AK70" s="7">
        <v>317.45999999999998</v>
      </c>
      <c r="AL70" s="5">
        <f t="shared" si="23"/>
        <v>3059.7591007701276</v>
      </c>
      <c r="AM70" s="5">
        <f t="shared" si="24"/>
        <v>2960.9111122812137</v>
      </c>
      <c r="AN70" s="5">
        <f t="shared" si="25"/>
        <v>447.52233236757138</v>
      </c>
      <c r="AO70" s="5">
        <f t="shared" si="26"/>
        <v>546.37032085648525</v>
      </c>
      <c r="AP70" s="5">
        <f t="shared" si="27"/>
        <v>81.908243417402204</v>
      </c>
      <c r="AQ70" s="5">
        <v>5.14</v>
      </c>
      <c r="AR70" s="5">
        <v>5.18</v>
      </c>
      <c r="AS70" s="5">
        <v>34</v>
      </c>
      <c r="AT70" s="5">
        <v>356.28</v>
      </c>
      <c r="AU70" s="5">
        <f t="shared" si="28"/>
        <v>0.22900763358778647</v>
      </c>
      <c r="AV70" s="5">
        <f t="shared" si="30"/>
        <v>122.52237505427448</v>
      </c>
      <c r="AW70" s="6">
        <f t="shared" si="31"/>
        <v>72.532463989613234</v>
      </c>
      <c r="AX70" s="6">
        <v>164.68799999999999</v>
      </c>
      <c r="AY70" s="5">
        <f t="shared" si="34"/>
        <v>703547136</v>
      </c>
      <c r="AZ70" s="5">
        <f t="shared" si="13"/>
        <v>2578.5125013743814</v>
      </c>
      <c r="BA70" s="5">
        <f t="shared" si="29"/>
        <v>2753.056268817405</v>
      </c>
      <c r="BB70" s="6">
        <v>296.52</v>
      </c>
      <c r="BC70" s="6">
        <v>272.85000000000002</v>
      </c>
      <c r="BD70" s="6">
        <v>4272</v>
      </c>
    </row>
    <row r="71" spans="1:56" x14ac:dyDescent="0.2">
      <c r="A71" s="2">
        <v>70</v>
      </c>
      <c r="B71" s="4">
        <v>45359</v>
      </c>
      <c r="C71" s="5">
        <v>813.31857554117835</v>
      </c>
      <c r="D71" s="5">
        <v>568.0909309387215</v>
      </c>
      <c r="E71" s="5">
        <v>13.92189215819042</v>
      </c>
      <c r="F71" s="5">
        <v>566.60253143310547</v>
      </c>
      <c r="G71" s="5">
        <v>72.863454818725586</v>
      </c>
      <c r="H71" s="5">
        <v>1.9200269428583849</v>
      </c>
      <c r="I71" s="5">
        <v>248.03554757436109</v>
      </c>
      <c r="J71" s="5">
        <v>833.42519378662109</v>
      </c>
      <c r="K71" s="5">
        <v>121.9172880914477</v>
      </c>
      <c r="L71" s="5">
        <v>5.0455589095751447</v>
      </c>
      <c r="M71" s="5">
        <v>566.08870315551849</v>
      </c>
      <c r="N71" s="5">
        <v>13.82599691549937</v>
      </c>
      <c r="O71" s="5">
        <v>566.60253143310547</v>
      </c>
      <c r="P71" s="5">
        <v>1.922995934883754</v>
      </c>
      <c r="Q71" s="5">
        <v>10.463620940844219</v>
      </c>
      <c r="R71" s="5">
        <v>2.1474995811780251</v>
      </c>
      <c r="S71" s="5">
        <v>15.27879762649536</v>
      </c>
      <c r="T71" s="5">
        <v>-93.248430781894299</v>
      </c>
      <c r="U71" s="5">
        <v>35.154199520746857</v>
      </c>
      <c r="V71" s="5">
        <v>389.01356194699139</v>
      </c>
      <c r="W71" s="5">
        <v>155.472100541625</v>
      </c>
      <c r="X71" s="5">
        <v>443.47278276580249</v>
      </c>
      <c r="Y71" s="5">
        <v>98506.901080838099</v>
      </c>
      <c r="Z71" s="5">
        <v>6.602276540986697</v>
      </c>
      <c r="AA71" s="5">
        <v>11.72486424628921</v>
      </c>
      <c r="AB71" s="5">
        <v>105.0091271358599</v>
      </c>
      <c r="AC71" s="5">
        <v>-0.27068082806354399</v>
      </c>
      <c r="AD71" s="5">
        <v>451.20795078994729</v>
      </c>
      <c r="AE71" s="5">
        <v>49.701291932103317</v>
      </c>
      <c r="AF71" s="5">
        <v>14.009280045492361</v>
      </c>
      <c r="AG71" s="7">
        <v>93.65</v>
      </c>
      <c r="AH71" s="5">
        <f t="shared" si="32"/>
        <v>3509.6351111656136</v>
      </c>
      <c r="AI71" s="5">
        <f t="shared" si="33"/>
        <v>6.6255976380896957</v>
      </c>
      <c r="AJ71" s="7">
        <v>2.15</v>
      </c>
      <c r="AK71" s="7">
        <v>317.98</v>
      </c>
      <c r="AL71" s="5">
        <f t="shared" si="23"/>
        <v>3061.7298138381648</v>
      </c>
      <c r="AM71" s="5">
        <f t="shared" si="24"/>
        <v>2961.7342672463747</v>
      </c>
      <c r="AN71" s="5">
        <f t="shared" si="25"/>
        <v>447.90529732744881</v>
      </c>
      <c r="AO71" s="5">
        <f t="shared" si="26"/>
        <v>547.90084391923892</v>
      </c>
      <c r="AP71" s="5">
        <f t="shared" si="27"/>
        <v>81.749335175959402</v>
      </c>
      <c r="AQ71" s="5">
        <v>4.95</v>
      </c>
      <c r="AR71" s="5">
        <v>5.24</v>
      </c>
      <c r="AS71" s="5">
        <v>31</v>
      </c>
      <c r="AT71" s="5">
        <v>356.01</v>
      </c>
      <c r="AU71" s="5">
        <f t="shared" si="28"/>
        <v>1.6666666666666672</v>
      </c>
      <c r="AV71" s="5">
        <f t="shared" si="30"/>
        <v>123.43257622630516</v>
      </c>
      <c r="AW71" s="6">
        <f t="shared" si="31"/>
        <v>71.560082389371033</v>
      </c>
      <c r="AX71" s="6">
        <v>163.07300000000001</v>
      </c>
      <c r="AY71" s="5">
        <f t="shared" si="34"/>
        <v>696647856</v>
      </c>
      <c r="AZ71" s="5">
        <f t="shared" si="13"/>
        <v>2492.1222579952778</v>
      </c>
      <c r="BA71" s="5">
        <f t="shared" si="29"/>
        <v>2661.1022509292875</v>
      </c>
      <c r="BB71" s="6">
        <v>294.16000000000003</v>
      </c>
      <c r="BC71" s="6">
        <v>279.54000000000002</v>
      </c>
      <c r="BD71" s="6">
        <v>4272</v>
      </c>
    </row>
    <row r="72" spans="1:56" x14ac:dyDescent="0.2">
      <c r="A72" s="2">
        <v>71</v>
      </c>
      <c r="B72" s="4">
        <v>45360</v>
      </c>
      <c r="C72" s="5">
        <v>825.29146067301429</v>
      </c>
      <c r="D72" s="5">
        <v>567.88236999511753</v>
      </c>
      <c r="E72" s="5">
        <v>14.21797962983449</v>
      </c>
      <c r="F72" s="5">
        <v>566.63921101888025</v>
      </c>
      <c r="G72" s="5">
        <v>78.606503963470459</v>
      </c>
      <c r="H72" s="5">
        <v>1.8484133086333541</v>
      </c>
      <c r="I72" s="5">
        <v>248.77276198069259</v>
      </c>
      <c r="J72" s="5">
        <v>847.37381490071618</v>
      </c>
      <c r="K72" s="5">
        <v>123.58062903086351</v>
      </c>
      <c r="L72" s="5">
        <v>5.0091122984886169</v>
      </c>
      <c r="M72" s="5">
        <v>566.04215749104799</v>
      </c>
      <c r="N72" s="5">
        <v>14.12489100297292</v>
      </c>
      <c r="O72" s="5">
        <v>566.63921101888025</v>
      </c>
      <c r="P72" s="5">
        <v>1.9519144495328269</v>
      </c>
      <c r="Q72" s="5">
        <v>10.612867752710979</v>
      </c>
      <c r="R72" s="5">
        <v>2.1792107323805459</v>
      </c>
      <c r="S72" s="5">
        <v>15.58918654918671</v>
      </c>
      <c r="T72" s="5">
        <v>-93.231029457516115</v>
      </c>
      <c r="U72" s="5">
        <v>35.269209941228233</v>
      </c>
      <c r="V72" s="5">
        <v>458.19130931615882</v>
      </c>
      <c r="W72" s="5">
        <v>151.0254950829646</v>
      </c>
      <c r="X72" s="5">
        <v>448.12848855312473</v>
      </c>
      <c r="Y72" s="5">
        <v>97985.397118285342</v>
      </c>
      <c r="Z72" s="5">
        <v>6.608626654629056</v>
      </c>
      <c r="AA72" s="5">
        <v>11.76477334446651</v>
      </c>
      <c r="AB72" s="5">
        <v>98.17262020670556</v>
      </c>
      <c r="AC72" s="5">
        <v>-0.25086487881934261</v>
      </c>
      <c r="AD72" s="5">
        <v>452.74377261510432</v>
      </c>
      <c r="AE72" s="5">
        <v>49.700329143354978</v>
      </c>
      <c r="AF72" s="5">
        <v>6.5938151074868676</v>
      </c>
      <c r="AG72" s="7">
        <v>93.61</v>
      </c>
      <c r="AH72" s="5">
        <f t="shared" si="32"/>
        <v>3506.2074152219243</v>
      </c>
      <c r="AI72" s="5">
        <f t="shared" si="33"/>
        <v>6.6125860067107043</v>
      </c>
      <c r="AJ72" s="7">
        <v>2.1800000000000002</v>
      </c>
      <c r="AK72" s="7">
        <v>317.38</v>
      </c>
      <c r="AL72" s="5">
        <f t="shared" si="23"/>
        <v>3059.5744531952046</v>
      </c>
      <c r="AM72" s="5">
        <f t="shared" si="24"/>
        <v>2957.8703450531057</v>
      </c>
      <c r="AN72" s="5">
        <f t="shared" si="25"/>
        <v>446.63296202671972</v>
      </c>
      <c r="AO72" s="5">
        <f t="shared" si="26"/>
        <v>548.33707016881863</v>
      </c>
      <c r="AP72" s="5">
        <f t="shared" si="27"/>
        <v>81.452264733663398</v>
      </c>
      <c r="AQ72" s="5">
        <v>4.88</v>
      </c>
      <c r="AR72" s="5">
        <v>5.08</v>
      </c>
      <c r="AS72" s="5">
        <v>30</v>
      </c>
      <c r="AT72" s="5">
        <v>358.04</v>
      </c>
      <c r="AU72" s="5">
        <f t="shared" si="28"/>
        <v>1.1378002528445019</v>
      </c>
      <c r="AV72" s="5">
        <f t="shared" si="30"/>
        <v>124.64538966459014</v>
      </c>
      <c r="AW72" s="6">
        <f t="shared" si="31"/>
        <v>71.148216783139205</v>
      </c>
      <c r="AX72" s="6">
        <v>164.96600000000001</v>
      </c>
      <c r="AY72" s="5">
        <f t="shared" si="34"/>
        <v>704734752</v>
      </c>
      <c r="AZ72" s="5">
        <f t="shared" si="13"/>
        <v>2491.4613306936294</v>
      </c>
      <c r="BA72" s="5">
        <f t="shared" si="29"/>
        <v>2661.5333091481994</v>
      </c>
      <c r="BB72" s="6">
        <v>298.19</v>
      </c>
      <c r="BC72" s="6">
        <v>282.86</v>
      </c>
      <c r="BD72" s="6">
        <v>4272</v>
      </c>
    </row>
    <row r="73" spans="1:56" x14ac:dyDescent="0.2">
      <c r="A73" s="2">
        <v>72</v>
      </c>
      <c r="B73" s="4">
        <v>45361</v>
      </c>
      <c r="C73" s="5">
        <v>811.94080861409509</v>
      </c>
      <c r="D73" s="5">
        <v>568.56891632080124</v>
      </c>
      <c r="E73" s="5">
        <v>13.88909091949462</v>
      </c>
      <c r="F73" s="5">
        <v>566.07898457845056</v>
      </c>
      <c r="G73" s="5">
        <v>67.135270754496261</v>
      </c>
      <c r="H73" s="5">
        <v>1.3881242679534189</v>
      </c>
      <c r="I73" s="5">
        <v>247.96137142181411</v>
      </c>
      <c r="J73" s="5">
        <v>833.55653635660804</v>
      </c>
      <c r="K73" s="5">
        <v>126.0228259828355</v>
      </c>
      <c r="L73" s="5">
        <v>4.9987059632937116</v>
      </c>
      <c r="M73" s="5">
        <v>566.50042215983126</v>
      </c>
      <c r="N73" s="5">
        <v>13.7946366071701</v>
      </c>
      <c r="O73" s="5">
        <v>566.07898457845056</v>
      </c>
      <c r="P73" s="5">
        <v>1.920096452037493</v>
      </c>
      <c r="Q73" s="5">
        <v>10.46651113033295</v>
      </c>
      <c r="R73" s="5">
        <v>2.1440201997756918</v>
      </c>
      <c r="S73" s="5">
        <v>15.28046655654907</v>
      </c>
      <c r="T73" s="5">
        <v>-93.377577463785812</v>
      </c>
      <c r="U73" s="5">
        <v>35.56223034858705</v>
      </c>
      <c r="V73" s="5">
        <v>355.8896572549516</v>
      </c>
      <c r="W73" s="5">
        <v>158.86125774488329</v>
      </c>
      <c r="X73" s="5">
        <v>452.69532399442761</v>
      </c>
      <c r="Y73" s="5">
        <v>98559.526468623793</v>
      </c>
      <c r="Z73" s="5">
        <v>6.5528583725805172</v>
      </c>
      <c r="AA73" s="5">
        <v>11.339890909451659</v>
      </c>
      <c r="AB73" s="5">
        <v>104.1697809198686</v>
      </c>
      <c r="AC73" s="5">
        <v>-0.26061718563464031</v>
      </c>
      <c r="AD73" s="5">
        <v>436.39302186842809</v>
      </c>
      <c r="AE73" s="5">
        <v>49.691483559936579</v>
      </c>
      <c r="AF73" s="5">
        <v>10.48493628039939</v>
      </c>
      <c r="AG73" s="7">
        <v>93.54</v>
      </c>
      <c r="AH73" s="5">
        <f t="shared" si="32"/>
        <v>3511.2078480795358</v>
      </c>
      <c r="AI73" s="5">
        <f t="shared" si="33"/>
        <v>6.6284695482158753</v>
      </c>
      <c r="AJ73" s="7">
        <v>2.14</v>
      </c>
      <c r="AK73" s="7">
        <v>317.83999999999997</v>
      </c>
      <c r="AL73" s="5">
        <f t="shared" si="23"/>
        <v>3061.6643660306599</v>
      </c>
      <c r="AM73" s="5">
        <f t="shared" si="24"/>
        <v>2962.2080751081126</v>
      </c>
      <c r="AN73" s="5">
        <f t="shared" si="25"/>
        <v>449.54348204887583</v>
      </c>
      <c r="AO73" s="5">
        <f t="shared" si="26"/>
        <v>548.99977297142323</v>
      </c>
      <c r="AP73" s="5">
        <f t="shared" si="27"/>
        <v>81.884092522616697</v>
      </c>
      <c r="AQ73" s="5">
        <v>4.95</v>
      </c>
      <c r="AR73" s="5">
        <v>4.76</v>
      </c>
      <c r="AS73" s="5">
        <v>33</v>
      </c>
      <c r="AT73" s="5">
        <v>359.44</v>
      </c>
      <c r="AU73" s="5">
        <f t="shared" si="28"/>
        <v>-1.0594795539033479</v>
      </c>
      <c r="AV73" s="5">
        <f t="shared" si="30"/>
        <v>125.03726816108427</v>
      </c>
      <c r="AW73" s="6">
        <f t="shared" si="31"/>
        <v>71.805762724824078</v>
      </c>
      <c r="AX73" s="6">
        <v>161.142</v>
      </c>
      <c r="AY73" s="5">
        <f t="shared" si="34"/>
        <v>688398624</v>
      </c>
      <c r="AZ73" s="5">
        <f t="shared" si="13"/>
        <v>2468.5287911930291</v>
      </c>
      <c r="BA73" s="5">
        <f t="shared" si="29"/>
        <v>2639.0087568879931</v>
      </c>
      <c r="BB73" s="6">
        <v>294.05</v>
      </c>
      <c r="BC73" s="6">
        <v>278.87</v>
      </c>
      <c r="BD73" s="6">
        <v>4272</v>
      </c>
    </row>
    <row r="74" spans="1:56" x14ac:dyDescent="0.2">
      <c r="A74" s="2">
        <v>73</v>
      </c>
      <c r="B74" s="4">
        <v>45362</v>
      </c>
      <c r="C74" s="5">
        <v>819.20768229166663</v>
      </c>
      <c r="D74" s="5">
        <v>569.04060618082724</v>
      </c>
      <c r="E74" s="5">
        <v>14.17779908974966</v>
      </c>
      <c r="F74" s="5">
        <v>566.01095835367835</v>
      </c>
      <c r="G74" s="5">
        <v>58.194585800170898</v>
      </c>
      <c r="H74" s="5">
        <v>0.17520100357438889</v>
      </c>
      <c r="I74" s="5">
        <v>248.51461696624779</v>
      </c>
      <c r="J74" s="5">
        <v>845.16960398356116</v>
      </c>
      <c r="K74" s="5">
        <v>121.4512072139317</v>
      </c>
      <c r="L74" s="5">
        <v>5.0858054558436079</v>
      </c>
      <c r="M74" s="5">
        <v>566.8870735168465</v>
      </c>
      <c r="N74" s="5">
        <v>14.08414618174235</v>
      </c>
      <c r="O74" s="5">
        <v>566.01095835367835</v>
      </c>
      <c r="P74" s="5">
        <v>1.936287755767504</v>
      </c>
      <c r="Q74" s="5">
        <v>10.57950484752655</v>
      </c>
      <c r="R74" s="5">
        <v>2.162615031003952</v>
      </c>
      <c r="S74" s="5">
        <v>15.60166410605113</v>
      </c>
      <c r="T74" s="5">
        <v>-93.484421783023421</v>
      </c>
      <c r="U74" s="5">
        <v>35.239411274592094</v>
      </c>
      <c r="V74" s="5">
        <v>385.84158099253699</v>
      </c>
      <c r="W74" s="5">
        <v>144.10736875594881</v>
      </c>
      <c r="X74" s="5">
        <v>456.96839682641797</v>
      </c>
      <c r="Y74" s="5">
        <v>98769.29685606579</v>
      </c>
      <c r="Z74" s="5">
        <v>6.6510343812515877</v>
      </c>
      <c r="AA74" s="5">
        <v>11.69303422025733</v>
      </c>
      <c r="AB74" s="5">
        <v>112.8498777643304</v>
      </c>
      <c r="AC74" s="5">
        <v>-0.28916227364824582</v>
      </c>
      <c r="AD74" s="5">
        <v>449.98303589816322</v>
      </c>
      <c r="AE74" s="5">
        <v>49.697162413184166</v>
      </c>
      <c r="AF74" s="5">
        <v>8.1016899064153662</v>
      </c>
      <c r="AG74" s="7">
        <v>93.65</v>
      </c>
      <c r="AH74" s="5">
        <f t="shared" si="32"/>
        <v>3509.651025125911</v>
      </c>
      <c r="AI74" s="5">
        <f t="shared" si="33"/>
        <v>6.6178787212529082</v>
      </c>
      <c r="AJ74" s="7">
        <v>2.17</v>
      </c>
      <c r="AK74" s="7">
        <v>317.36</v>
      </c>
      <c r="AL74" s="5">
        <f t="shared" si="23"/>
        <v>3059.786465488311</v>
      </c>
      <c r="AM74" s="5">
        <f t="shared" si="24"/>
        <v>2959.6868680993407</v>
      </c>
      <c r="AN74" s="5">
        <f t="shared" si="25"/>
        <v>449.8645596376</v>
      </c>
      <c r="AO74" s="5">
        <f t="shared" si="26"/>
        <v>549.96415702657032</v>
      </c>
      <c r="AP74" s="5">
        <f t="shared" si="27"/>
        <v>81.798887052900398</v>
      </c>
      <c r="AQ74" s="5">
        <v>5.12</v>
      </c>
      <c r="AR74" s="5">
        <v>5.12</v>
      </c>
      <c r="AS74" s="5">
        <v>30</v>
      </c>
      <c r="AT74" s="5">
        <v>357.8</v>
      </c>
      <c r="AU74" s="5">
        <f t="shared" si="28"/>
        <v>0</v>
      </c>
      <c r="AV74" s="5">
        <f t="shared" si="30"/>
        <v>121.4512072139317</v>
      </c>
      <c r="AW74" s="6">
        <f t="shared" si="31"/>
        <v>72.101523119605943</v>
      </c>
      <c r="AX74" s="6">
        <v>161.32300000000001</v>
      </c>
      <c r="AY74" s="5">
        <f t="shared" si="34"/>
        <v>689171856</v>
      </c>
      <c r="AZ74" s="5">
        <f t="shared" si="13"/>
        <v>2472.0106747013883</v>
      </c>
      <c r="BA74" s="5">
        <f t="shared" si="29"/>
        <v>2639.626988469181</v>
      </c>
      <c r="BB74" s="6">
        <v>297.24</v>
      </c>
      <c r="BC74" s="6">
        <v>278.79000000000002</v>
      </c>
      <c r="BD74" s="6">
        <v>4272</v>
      </c>
    </row>
    <row r="75" spans="1:56" x14ac:dyDescent="0.2">
      <c r="A75" s="2">
        <v>74</v>
      </c>
      <c r="B75" s="4">
        <v>45363</v>
      </c>
      <c r="C75" s="5">
        <v>812.55995686848962</v>
      </c>
      <c r="D75" s="5">
        <v>568.16254297892249</v>
      </c>
      <c r="E75" s="5">
        <v>14.02598826090496</v>
      </c>
      <c r="F75" s="5">
        <v>566.706298828125</v>
      </c>
      <c r="G75" s="5">
        <v>77.367847124735519</v>
      </c>
      <c r="H75" s="5">
        <v>1.4202869475511759</v>
      </c>
      <c r="I75" s="5">
        <v>248.02801831563309</v>
      </c>
      <c r="J75" s="5">
        <v>832.07066599527991</v>
      </c>
      <c r="K75" s="5">
        <v>122.4615423944262</v>
      </c>
      <c r="L75" s="5">
        <v>5.0241255958875017</v>
      </c>
      <c r="M75" s="5">
        <v>566.20147959391352</v>
      </c>
      <c r="N75" s="5">
        <v>13.92688731352488</v>
      </c>
      <c r="O75" s="5">
        <v>566.706298828125</v>
      </c>
      <c r="P75" s="5">
        <v>1.9214698721965151</v>
      </c>
      <c r="Q75" s="5">
        <v>10.45312003294627</v>
      </c>
      <c r="R75" s="5">
        <v>2.1453326145807869</v>
      </c>
      <c r="S75" s="5">
        <v>15.384141405423479</v>
      </c>
      <c r="T75" s="5">
        <v>-93.623618708716506</v>
      </c>
      <c r="U75" s="5">
        <v>34.817056179046617</v>
      </c>
      <c r="V75" s="5">
        <v>382.44833097131823</v>
      </c>
      <c r="W75" s="5">
        <v>156.73862604218229</v>
      </c>
      <c r="X75" s="5">
        <v>461.66032514406749</v>
      </c>
      <c r="Y75" s="5">
        <v>98743.476096392493</v>
      </c>
      <c r="Z75" s="5">
        <v>6.6041413996204597</v>
      </c>
      <c r="AA75" s="5">
        <v>11.605726497591141</v>
      </c>
      <c r="AB75" s="5">
        <v>112.4775054218637</v>
      </c>
      <c r="AC75" s="5">
        <v>-0.28164679582143032</v>
      </c>
      <c r="AD75" s="5">
        <v>446.62317280679991</v>
      </c>
      <c r="AE75" s="5">
        <v>49.692031301645557</v>
      </c>
      <c r="AF75" s="5">
        <v>9.8116577608753719</v>
      </c>
      <c r="AG75" s="7">
        <v>93.679999999999993</v>
      </c>
      <c r="AH75" s="5">
        <f t="shared" si="32"/>
        <v>3508.8126809598944</v>
      </c>
      <c r="AI75" s="5">
        <f t="shared" si="33"/>
        <v>6.6214545645281015</v>
      </c>
      <c r="AJ75" s="7">
        <v>2.15</v>
      </c>
      <c r="AK75" s="7">
        <v>317.77999999999997</v>
      </c>
      <c r="AL75" s="5">
        <f t="shared" si="23"/>
        <v>3061.269410545739</v>
      </c>
      <c r="AM75" s="5">
        <f t="shared" si="24"/>
        <v>2959.4623826403094</v>
      </c>
      <c r="AN75" s="5">
        <f t="shared" si="25"/>
        <v>447.54327041415536</v>
      </c>
      <c r="AO75" s="5">
        <f t="shared" si="26"/>
        <v>549.35029831958491</v>
      </c>
      <c r="AP75" s="5">
        <f t="shared" si="27"/>
        <v>81.467739579490811</v>
      </c>
      <c r="AQ75" s="5">
        <v>5</v>
      </c>
      <c r="AR75" s="5">
        <v>5.09</v>
      </c>
      <c r="AS75" s="5">
        <v>33</v>
      </c>
      <c r="AT75" s="5">
        <v>356.88</v>
      </c>
      <c r="AU75" s="5">
        <f t="shared" si="28"/>
        <v>0.5123339658444015</v>
      </c>
      <c r="AV75" s="5">
        <f t="shared" si="30"/>
        <v>122.91988426248113</v>
      </c>
      <c r="AW75" s="6">
        <f t="shared" si="31"/>
        <v>72.236666585623951</v>
      </c>
      <c r="AX75" s="6">
        <v>163.30699999999999</v>
      </c>
      <c r="AY75" s="5">
        <f t="shared" si="34"/>
        <v>697647504</v>
      </c>
      <c r="AZ75" s="5">
        <f t="shared" si="13"/>
        <v>2477.5294009020208</v>
      </c>
      <c r="BA75" s="5">
        <f t="shared" si="29"/>
        <v>2644.6727165905431</v>
      </c>
      <c r="BB75" s="6">
        <v>295.04000000000002</v>
      </c>
      <c r="BC75" s="6">
        <v>281.58999999999997</v>
      </c>
      <c r="BD75" s="6">
        <v>4272</v>
      </c>
    </row>
    <row r="76" spans="1:56" x14ac:dyDescent="0.2">
      <c r="A76" s="2">
        <v>75</v>
      </c>
      <c r="B76" s="4">
        <v>45364</v>
      </c>
      <c r="C76" s="5">
        <v>827.40179443359375</v>
      </c>
      <c r="D76" s="5">
        <v>568.2976888020836</v>
      </c>
      <c r="E76" s="5">
        <v>14.307823872566219</v>
      </c>
      <c r="F76" s="5">
        <v>566.00469462076819</v>
      </c>
      <c r="G76" s="5">
        <v>75.309552033742264</v>
      </c>
      <c r="H76" s="5">
        <v>0.80505152193629625</v>
      </c>
      <c r="I76" s="5">
        <v>248.97337436676031</v>
      </c>
      <c r="J76" s="5">
        <v>850.14737701416016</v>
      </c>
      <c r="K76" s="5">
        <v>121.81846247779001</v>
      </c>
      <c r="L76" s="5">
        <v>4.9230808218320208</v>
      </c>
      <c r="M76" s="5">
        <v>566.33126195271893</v>
      </c>
      <c r="N76" s="5">
        <v>14.215023239453631</v>
      </c>
      <c r="O76" s="5">
        <v>566.00469462076819</v>
      </c>
      <c r="P76" s="5">
        <v>1.956690942247709</v>
      </c>
      <c r="Q76" s="5">
        <v>10.6609955628713</v>
      </c>
      <c r="R76" s="5">
        <v>2.1842771818240458</v>
      </c>
      <c r="S76" s="5">
        <v>15.68447669347127</v>
      </c>
      <c r="T76" s="5">
        <v>-93.397363662719769</v>
      </c>
      <c r="U76" s="5">
        <v>35.502362410227462</v>
      </c>
      <c r="V76" s="5">
        <v>401.05365643427558</v>
      </c>
      <c r="W76" s="5">
        <v>149.2610670789586</v>
      </c>
      <c r="X76" s="5">
        <v>466.68074955807202</v>
      </c>
      <c r="Y76" s="5">
        <v>99245.613366304431</v>
      </c>
      <c r="Z76" s="5">
        <v>6.5332296922319353</v>
      </c>
      <c r="AA76" s="5">
        <v>11.676355021152499</v>
      </c>
      <c r="AB76" s="5">
        <v>111.51626829508049</v>
      </c>
      <c r="AC76" s="5">
        <v>-0.27964817909462991</v>
      </c>
      <c r="AD76" s="5">
        <v>449.34117027901152</v>
      </c>
      <c r="AE76" s="5">
        <v>49.689911101572477</v>
      </c>
      <c r="AF76" s="5">
        <v>10.66978613069708</v>
      </c>
      <c r="AG76" s="7">
        <v>93.710000000000008</v>
      </c>
      <c r="AH76" s="5">
        <f t="shared" si="32"/>
        <v>3506.4288635736593</v>
      </c>
      <c r="AI76" s="5">
        <f t="shared" si="33"/>
        <v>6.6101775458201599</v>
      </c>
      <c r="AJ76" s="7">
        <v>2.19</v>
      </c>
      <c r="AK76" s="7">
        <v>317.10000000000002</v>
      </c>
      <c r="AL76" s="5">
        <f t="shared" si="23"/>
        <v>3058.6692684196355</v>
      </c>
      <c r="AM76" s="5">
        <f t="shared" si="24"/>
        <v>2957.6289051490612</v>
      </c>
      <c r="AN76" s="5">
        <f t="shared" si="25"/>
        <v>447.75959515402383</v>
      </c>
      <c r="AO76" s="5">
        <f t="shared" si="26"/>
        <v>548.79995842459812</v>
      </c>
      <c r="AP76" s="5">
        <f t="shared" si="27"/>
        <v>81.588853694409195</v>
      </c>
      <c r="AQ76" s="5">
        <v>4.93</v>
      </c>
      <c r="AR76" s="5">
        <v>5.14</v>
      </c>
      <c r="AS76" s="5">
        <v>31</v>
      </c>
      <c r="AT76" s="5">
        <v>354.11</v>
      </c>
      <c r="AU76" s="5">
        <f t="shared" si="28"/>
        <v>1.1992385786802031</v>
      </c>
      <c r="AV76" s="5">
        <f t="shared" si="30"/>
        <v>122.90759251638787</v>
      </c>
      <c r="AW76" s="6">
        <f t="shared" si="31"/>
        <v>71.555324033181307</v>
      </c>
      <c r="AX76" s="6">
        <v>164.595</v>
      </c>
      <c r="AY76" s="5">
        <f t="shared" si="34"/>
        <v>703149840</v>
      </c>
      <c r="AZ76" s="5">
        <f t="shared" si="13"/>
        <v>2520.3406573712318</v>
      </c>
      <c r="BA76" s="5">
        <f t="shared" si="29"/>
        <v>2689.5108925101181</v>
      </c>
      <c r="BB76" s="6">
        <v>300.04000000000002</v>
      </c>
      <c r="BC76" s="6">
        <v>278.99</v>
      </c>
      <c r="BD76" s="6">
        <v>4272</v>
      </c>
    </row>
    <row r="77" spans="1:56" x14ac:dyDescent="0.2">
      <c r="A77" s="2">
        <v>76</v>
      </c>
      <c r="B77" s="4">
        <v>45365</v>
      </c>
      <c r="C77" s="5">
        <v>815.16728973388672</v>
      </c>
      <c r="D77" s="5">
        <v>568.8078778584802</v>
      </c>
      <c r="E77" s="5">
        <v>14.1432156642278</v>
      </c>
      <c r="F77" s="5">
        <v>567.46893819173181</v>
      </c>
      <c r="G77" s="5">
        <v>81.52200063069661</v>
      </c>
      <c r="H77" s="5">
        <v>1.716780501454195</v>
      </c>
      <c r="I77" s="5">
        <v>248.17072518666581</v>
      </c>
      <c r="J77" s="5">
        <v>836.26383717854821</v>
      </c>
      <c r="K77" s="5">
        <v>121.4616800944011</v>
      </c>
      <c r="L77" s="5">
        <v>4.8854667345682783</v>
      </c>
      <c r="M77" s="5">
        <v>566.77608235677167</v>
      </c>
      <c r="N77" s="5">
        <v>14.049237767855329</v>
      </c>
      <c r="O77" s="5">
        <v>567.46893819173181</v>
      </c>
      <c r="P77" s="5">
        <v>1.9279097865025201</v>
      </c>
      <c r="Q77" s="5">
        <v>10.48153301080068</v>
      </c>
      <c r="R77" s="5">
        <v>2.1526194463173511</v>
      </c>
      <c r="S77" s="5">
        <v>15.47406729062398</v>
      </c>
      <c r="T77" s="5">
        <v>-93.318054146236818</v>
      </c>
      <c r="U77" s="5">
        <v>35.788249810536698</v>
      </c>
      <c r="V77" s="5">
        <v>351.449504714657</v>
      </c>
      <c r="W77" s="5">
        <v>153.14555117329741</v>
      </c>
      <c r="X77" s="5">
        <v>471.24036167618192</v>
      </c>
      <c r="Y77" s="5">
        <v>98976.380744599577</v>
      </c>
      <c r="Z77" s="5">
        <v>6.5800481351971314</v>
      </c>
      <c r="AA77" s="5">
        <v>11.629076499727971</v>
      </c>
      <c r="AB77" s="5">
        <v>112.56031284506891</v>
      </c>
      <c r="AC77" s="5">
        <v>-0.28243158616426511</v>
      </c>
      <c r="AD77" s="5">
        <v>447.52175093903162</v>
      </c>
      <c r="AE77" s="5">
        <v>49.686984542147371</v>
      </c>
      <c r="AF77" s="5">
        <v>12.29089019201272</v>
      </c>
      <c r="AG77" s="7">
        <v>93.73</v>
      </c>
      <c r="AH77" s="5">
        <f t="shared" si="32"/>
        <v>3509.3733373787741</v>
      </c>
      <c r="AI77" s="5">
        <f t="shared" si="33"/>
        <v>6.6185858777192621</v>
      </c>
      <c r="AJ77" s="7">
        <v>2.15</v>
      </c>
      <c r="AK77" s="7">
        <v>317.75</v>
      </c>
      <c r="AL77" s="5">
        <f t="shared" si="23"/>
        <v>3061.2003421821473</v>
      </c>
      <c r="AM77" s="5">
        <f t="shared" si="24"/>
        <v>2957.8915606212131</v>
      </c>
      <c r="AN77" s="5">
        <f t="shared" si="25"/>
        <v>448.17299519662674</v>
      </c>
      <c r="AO77" s="5">
        <f t="shared" si="26"/>
        <v>551.48177675756097</v>
      </c>
      <c r="AP77" s="5">
        <f t="shared" si="27"/>
        <v>81.267054340700327</v>
      </c>
      <c r="AQ77" s="5">
        <v>4.9800000000000004</v>
      </c>
      <c r="AR77" s="5">
        <v>5.2</v>
      </c>
      <c r="AS77" s="5">
        <v>33</v>
      </c>
      <c r="AT77" s="5">
        <v>353.47</v>
      </c>
      <c r="AU77" s="5">
        <f t="shared" si="28"/>
        <v>1.2611464968152852</v>
      </c>
      <c r="AV77" s="5">
        <f t="shared" si="30"/>
        <v>122.57731147393558</v>
      </c>
      <c r="AW77" s="6">
        <f t="shared" si="31"/>
        <v>72.048144452230915</v>
      </c>
      <c r="AX77" s="6">
        <v>162.11000000000001</v>
      </c>
      <c r="AY77" s="5">
        <f t="shared" si="34"/>
        <v>692533920</v>
      </c>
      <c r="AZ77" s="5">
        <f t="shared" si="13"/>
        <v>2494.2694759589413</v>
      </c>
      <c r="BA77" s="5">
        <f t="shared" si="29"/>
        <v>2661.1218136764551</v>
      </c>
      <c r="BB77" s="6">
        <v>295.02999999999997</v>
      </c>
      <c r="BC77" s="6">
        <v>277.64999999999998</v>
      </c>
      <c r="BD77" s="6">
        <v>4272</v>
      </c>
    </row>
    <row r="78" spans="1:56" x14ac:dyDescent="0.2">
      <c r="A78" s="2">
        <v>77</v>
      </c>
      <c r="B78" s="4">
        <v>45366</v>
      </c>
      <c r="C78" s="5">
        <v>850.33311462402344</v>
      </c>
      <c r="D78" s="5">
        <v>567.71233113606809</v>
      </c>
      <c r="E78" s="5">
        <v>14.83730502128601</v>
      </c>
      <c r="F78" s="5">
        <v>566.86120859781897</v>
      </c>
      <c r="G78" s="5">
        <v>75.585426807403564</v>
      </c>
      <c r="H78" s="5">
        <v>2.2802618954644149</v>
      </c>
      <c r="I78" s="5">
        <v>250.22651418050131</v>
      </c>
      <c r="J78" s="5">
        <v>874.28122711181641</v>
      </c>
      <c r="K78" s="5">
        <v>123.2440450456407</v>
      </c>
      <c r="L78" s="5">
        <v>4.7899231414000196</v>
      </c>
      <c r="M78" s="5">
        <v>565.86047999064124</v>
      </c>
      <c r="N78" s="5">
        <v>14.74562799930573</v>
      </c>
      <c r="O78" s="5">
        <v>566.86120859781897</v>
      </c>
      <c r="P78" s="5">
        <v>2.0119946847359338</v>
      </c>
      <c r="Q78" s="5">
        <v>10.91991710662842</v>
      </c>
      <c r="R78" s="5">
        <v>2.2445787489414202</v>
      </c>
      <c r="S78" s="5">
        <v>16.222243388493851</v>
      </c>
      <c r="T78" s="5">
        <v>-93.259623474544938</v>
      </c>
      <c r="U78" s="5">
        <v>35.898102601369231</v>
      </c>
      <c r="V78" s="5">
        <v>387.93064181171121</v>
      </c>
      <c r="W78" s="5">
        <v>145.2670442624688</v>
      </c>
      <c r="X78" s="5">
        <v>475.77209739741272</v>
      </c>
      <c r="Y78" s="5">
        <v>99975.450236068558</v>
      </c>
      <c r="Z78" s="5">
        <v>6.4110779006438774</v>
      </c>
      <c r="AA78" s="5">
        <v>11.872847444614971</v>
      </c>
      <c r="AB78" s="5">
        <v>112.0650470148684</v>
      </c>
      <c r="AC78" s="5">
        <v>-0.28168240037305942</v>
      </c>
      <c r="AD78" s="5">
        <v>456.90278821111792</v>
      </c>
      <c r="AE78" s="5">
        <v>49.687523004852302</v>
      </c>
      <c r="AF78" s="5">
        <v>13.780987219192079</v>
      </c>
      <c r="AG78" s="7">
        <v>93.74</v>
      </c>
      <c r="AH78" s="5">
        <f t="shared" si="32"/>
        <v>3499.7052855243523</v>
      </c>
      <c r="AI78" s="5">
        <f t="shared" si="33"/>
        <v>6.5868033695472121</v>
      </c>
      <c r="AJ78" s="7">
        <v>2.2400000000000002</v>
      </c>
      <c r="AK78" s="7">
        <v>316.33</v>
      </c>
      <c r="AL78" s="5">
        <f t="shared" si="23"/>
        <v>3055.5860935409355</v>
      </c>
      <c r="AM78" s="5">
        <f t="shared" si="24"/>
        <v>2950.1483002943664</v>
      </c>
      <c r="AN78" s="5">
        <f t="shared" si="25"/>
        <v>444.11919198341684</v>
      </c>
      <c r="AO78" s="5">
        <f t="shared" si="26"/>
        <v>549.55698522998591</v>
      </c>
      <c r="AP78" s="5">
        <f t="shared" si="27"/>
        <v>80.814038201617251</v>
      </c>
      <c r="AQ78" s="5">
        <v>4.8899999999999997</v>
      </c>
      <c r="AR78" s="5">
        <v>5.07</v>
      </c>
      <c r="AS78" s="5">
        <v>33</v>
      </c>
      <c r="AT78" s="5">
        <v>353.18</v>
      </c>
      <c r="AU78" s="5">
        <f t="shared" si="28"/>
        <v>1.0233733417561628</v>
      </c>
      <c r="AV78" s="5">
        <f t="shared" si="30"/>
        <v>124.16757854516021</v>
      </c>
      <c r="AW78" s="6">
        <f t="shared" si="31"/>
        <v>71.526148246248923</v>
      </c>
      <c r="AX78" s="6">
        <v>170.434</v>
      </c>
      <c r="AY78" s="5">
        <f t="shared" si="34"/>
        <v>728094048</v>
      </c>
      <c r="AZ78" s="5">
        <f t="shared" si="13"/>
        <v>2602.1945961401002</v>
      </c>
      <c r="BA78" s="5">
        <f t="shared" si="29"/>
        <v>2775.9703393856416</v>
      </c>
      <c r="BB78" s="6">
        <v>306.58</v>
      </c>
      <c r="BC78" s="6">
        <v>279.8</v>
      </c>
      <c r="BD78" s="6">
        <v>4272</v>
      </c>
    </row>
    <row r="79" spans="1:56" x14ac:dyDescent="0.2">
      <c r="A79" s="2">
        <v>78</v>
      </c>
      <c r="B79" s="4">
        <v>45367</v>
      </c>
      <c r="C79" s="5">
        <v>817.03341929117835</v>
      </c>
      <c r="D79" s="5">
        <v>568.81056976318439</v>
      </c>
      <c r="E79" s="5">
        <v>14.190483331680291</v>
      </c>
      <c r="F79" s="5">
        <v>565.92854817708337</v>
      </c>
      <c r="G79" s="5">
        <v>65.130761702855423</v>
      </c>
      <c r="H79" s="5">
        <v>0.29776237008657819</v>
      </c>
      <c r="I79" s="5">
        <v>248.3682368596395</v>
      </c>
      <c r="J79" s="5">
        <v>840.64907582600915</v>
      </c>
      <c r="K79" s="5">
        <v>123.3598105642531</v>
      </c>
      <c r="L79" s="5">
        <v>5.0495078166325884</v>
      </c>
      <c r="M79" s="5">
        <v>566.70538075764978</v>
      </c>
      <c r="N79" s="5">
        <v>14.10165723164876</v>
      </c>
      <c r="O79" s="5">
        <v>565.92854817708337</v>
      </c>
      <c r="P79" s="5">
        <v>1.931938529014587</v>
      </c>
      <c r="Q79" s="5">
        <v>10.531033953030899</v>
      </c>
      <c r="R79" s="5">
        <v>2.1568389584620751</v>
      </c>
      <c r="S79" s="5">
        <v>15.57543746630351</v>
      </c>
      <c r="T79" s="5">
        <v>-93.635821024576828</v>
      </c>
      <c r="U79" s="5">
        <v>34.726034164428711</v>
      </c>
      <c r="V79" s="5">
        <v>422.9996674031986</v>
      </c>
      <c r="W79" s="5">
        <v>161.2508323474834</v>
      </c>
      <c r="X79" s="5">
        <v>479.58650254383429</v>
      </c>
      <c r="Y79" s="5">
        <v>98345.221522643798</v>
      </c>
      <c r="Z79" s="5">
        <v>6.6336532009818834</v>
      </c>
      <c r="AA79" s="5">
        <v>11.507787448378931</v>
      </c>
      <c r="AB79" s="5">
        <v>104.36431770322601</v>
      </c>
      <c r="AC79" s="5">
        <v>-0.26165327477770423</v>
      </c>
      <c r="AD79" s="5">
        <v>442.85418437596638</v>
      </c>
      <c r="AE79" s="5">
        <v>49.697237837628222</v>
      </c>
      <c r="AF79" s="5">
        <v>13.07254095800576</v>
      </c>
      <c r="AG79" s="7">
        <v>93.62</v>
      </c>
      <c r="AH79" s="5">
        <f t="shared" si="32"/>
        <v>3508.9219569510838</v>
      </c>
      <c r="AI79" s="5">
        <f t="shared" si="33"/>
        <v>6.616633299018452</v>
      </c>
      <c r="AJ79" s="7">
        <v>2.15</v>
      </c>
      <c r="AK79" s="7">
        <v>317.47000000000003</v>
      </c>
      <c r="AL79" s="5">
        <f t="shared" si="23"/>
        <v>3060.5556048005092</v>
      </c>
      <c r="AM79" s="5">
        <f t="shared" si="24"/>
        <v>2956.8234237916363</v>
      </c>
      <c r="AN79" s="5">
        <f t="shared" si="25"/>
        <v>448.36635215057458</v>
      </c>
      <c r="AO79" s="5">
        <f t="shared" si="26"/>
        <v>552.09853315944747</v>
      </c>
      <c r="AP79" s="5">
        <f t="shared" si="27"/>
        <v>81.211292046864614</v>
      </c>
      <c r="AQ79" s="5">
        <v>4.93</v>
      </c>
      <c r="AR79" s="5">
        <v>4.9000000000000004</v>
      </c>
      <c r="AS79" s="5">
        <v>33</v>
      </c>
      <c r="AT79" s="5">
        <v>350.84</v>
      </c>
      <c r="AU79" s="5">
        <f t="shared" si="28"/>
        <v>-0.16874999999999643</v>
      </c>
      <c r="AV79" s="5">
        <f t="shared" si="30"/>
        <v>123.20732838392593</v>
      </c>
      <c r="AW79" s="6">
        <f t="shared" si="31"/>
        <v>71.618635670801055</v>
      </c>
      <c r="AX79" s="6">
        <v>165.30199999999999</v>
      </c>
      <c r="AY79" s="5">
        <f t="shared" si="34"/>
        <v>706170144</v>
      </c>
      <c r="AZ79" s="5">
        <f t="shared" si="13"/>
        <v>2543.1076923076921</v>
      </c>
      <c r="BA79" s="5">
        <f t="shared" si="29"/>
        <v>2716.4149672160779</v>
      </c>
      <c r="BB79" s="6">
        <v>297.05</v>
      </c>
      <c r="BC79" s="6">
        <v>277.68</v>
      </c>
      <c r="BD79" s="6">
        <v>4272</v>
      </c>
    </row>
    <row r="80" spans="1:56" x14ac:dyDescent="0.2">
      <c r="A80" s="2">
        <v>79</v>
      </c>
      <c r="B80" s="4">
        <v>45368</v>
      </c>
      <c r="C80" s="5">
        <v>833.31699879964196</v>
      </c>
      <c r="D80" s="5">
        <v>568.10885111490882</v>
      </c>
      <c r="E80" s="5">
        <v>14.37660938103993</v>
      </c>
      <c r="F80" s="5">
        <v>566.9444580078125</v>
      </c>
      <c r="G80" s="5">
        <v>84.446052869160965</v>
      </c>
      <c r="H80" s="5">
        <v>1.733819824435159</v>
      </c>
      <c r="I80" s="5">
        <v>249.44759337107359</v>
      </c>
      <c r="J80" s="5">
        <v>856.10610707600915</v>
      </c>
      <c r="K80" s="5">
        <v>122.3690169122484</v>
      </c>
      <c r="L80" s="5">
        <v>5.0037477811177569</v>
      </c>
      <c r="M80" s="5">
        <v>566.11377588907919</v>
      </c>
      <c r="N80" s="5">
        <v>14.27951753139496</v>
      </c>
      <c r="O80" s="5">
        <v>566.9444580078125</v>
      </c>
      <c r="P80" s="5">
        <v>1.972058162093163</v>
      </c>
      <c r="Q80" s="5">
        <v>10.710839986801149</v>
      </c>
      <c r="R80" s="5">
        <v>2.1999191244443219</v>
      </c>
      <c r="S80" s="5">
        <v>15.73490377267202</v>
      </c>
      <c r="T80" s="5">
        <v>-93.444882869720459</v>
      </c>
      <c r="U80" s="5">
        <v>35.298700491587297</v>
      </c>
      <c r="V80" s="5">
        <v>400.15573694600897</v>
      </c>
      <c r="W80" s="5">
        <v>146.07657529322199</v>
      </c>
      <c r="X80" s="5">
        <v>484.55356559503741</v>
      </c>
      <c r="Y80" s="5">
        <v>99406.451350724034</v>
      </c>
      <c r="Z80" s="5">
        <v>6.483477472302563</v>
      </c>
      <c r="AA80" s="5">
        <v>11.775014214525561</v>
      </c>
      <c r="AB80" s="5">
        <v>111.1731894054568</v>
      </c>
      <c r="AC80" s="5">
        <v>-0.2784662118161943</v>
      </c>
      <c r="AD80" s="5">
        <v>453.13787201758691</v>
      </c>
      <c r="AE80" s="5">
        <v>49.693785834850011</v>
      </c>
      <c r="AF80" s="5">
        <v>21.891186456520948</v>
      </c>
      <c r="AG80" s="7">
        <v>93.73</v>
      </c>
      <c r="AH80" s="5">
        <f t="shared" si="32"/>
        <v>3505.260042642828</v>
      </c>
      <c r="AI80" s="5">
        <f t="shared" si="33"/>
        <v>6.6067551045941109</v>
      </c>
      <c r="AJ80" s="7">
        <v>2.19</v>
      </c>
      <c r="AK80" s="7">
        <v>317.25</v>
      </c>
      <c r="AL80" s="5">
        <f t="shared" si="23"/>
        <v>3059.0158224191555</v>
      </c>
      <c r="AM80" s="5">
        <f t="shared" si="24"/>
        <v>2955.7556523056032</v>
      </c>
      <c r="AN80" s="5">
        <f t="shared" si="25"/>
        <v>446.24422022367253</v>
      </c>
      <c r="AO80" s="5">
        <f t="shared" si="26"/>
        <v>549.50439033722478</v>
      </c>
      <c r="AP80" s="5">
        <f t="shared" si="27"/>
        <v>81.208490427131508</v>
      </c>
      <c r="AQ80" s="5">
        <v>5.13</v>
      </c>
      <c r="AR80" s="5">
        <v>4.78</v>
      </c>
      <c r="AS80" s="5">
        <v>33</v>
      </c>
      <c r="AT80" s="5">
        <v>350.38</v>
      </c>
      <c r="AU80" s="5">
        <f t="shared" si="28"/>
        <v>-1.9540942928039686</v>
      </c>
      <c r="AV80" s="5">
        <f t="shared" si="30"/>
        <v>120.62266205323114</v>
      </c>
      <c r="AW80" s="6">
        <f t="shared" si="31"/>
        <v>72.391876598011493</v>
      </c>
      <c r="AX80" s="6">
        <v>167.19399999999999</v>
      </c>
      <c r="AY80" s="5">
        <f t="shared" si="34"/>
        <v>714252767.99999988</v>
      </c>
      <c r="AZ80" s="5">
        <f t="shared" si="13"/>
        <v>2544.5413893836831</v>
      </c>
      <c r="BA80" s="5">
        <f t="shared" si="29"/>
        <v>2714.7566300903477</v>
      </c>
      <c r="BB80" s="6">
        <v>303.05</v>
      </c>
      <c r="BC80" s="6">
        <v>280.7</v>
      </c>
      <c r="BD80" s="6">
        <v>4272</v>
      </c>
    </row>
    <row r="81" spans="1:56" x14ac:dyDescent="0.2">
      <c r="A81" s="2">
        <v>80</v>
      </c>
      <c r="B81" s="4">
        <v>45369</v>
      </c>
      <c r="C81" s="5">
        <v>818.35598754882812</v>
      </c>
      <c r="D81" s="5">
        <v>568.62796910603856</v>
      </c>
      <c r="E81" s="5">
        <v>14.063098994890851</v>
      </c>
      <c r="F81" s="5">
        <v>566.37157440185547</v>
      </c>
      <c r="G81" s="5">
        <v>81.783718585968018</v>
      </c>
      <c r="H81" s="5">
        <v>0.17134737431792499</v>
      </c>
      <c r="I81" s="5">
        <v>248.46504020690929</v>
      </c>
      <c r="J81" s="5">
        <v>843.26155090332031</v>
      </c>
      <c r="K81" s="5">
        <v>123.1355660226611</v>
      </c>
      <c r="L81" s="5">
        <v>4.9129849274953203</v>
      </c>
      <c r="M81" s="5">
        <v>566.64182281494186</v>
      </c>
      <c r="N81" s="5">
        <v>13.96545787652334</v>
      </c>
      <c r="O81" s="5">
        <v>566.37157440185547</v>
      </c>
      <c r="P81" s="5">
        <v>1.9352347900470099</v>
      </c>
      <c r="Q81" s="5">
        <v>10.562422672907511</v>
      </c>
      <c r="R81" s="5">
        <v>2.16092877089977</v>
      </c>
      <c r="S81" s="5">
        <v>15.43313785394033</v>
      </c>
      <c r="T81" s="5">
        <v>-93.325173854827867</v>
      </c>
      <c r="U81" s="5">
        <v>35.703821897506721</v>
      </c>
      <c r="V81" s="5">
        <v>425.58704448259698</v>
      </c>
      <c r="W81" s="5">
        <v>154.13980872432711</v>
      </c>
      <c r="X81" s="5">
        <v>488.46759128382922</v>
      </c>
      <c r="Y81" s="5">
        <v>99607.82850266005</v>
      </c>
      <c r="Z81" s="5">
        <v>6.4584092707831262</v>
      </c>
      <c r="AA81" s="5">
        <v>11.56298811614711</v>
      </c>
      <c r="AB81" s="5">
        <v>113.47702037295331</v>
      </c>
      <c r="AC81" s="5">
        <v>-0.28390100241480098</v>
      </c>
      <c r="AD81" s="5">
        <v>444.9784716736894</v>
      </c>
      <c r="AE81" s="5">
        <v>49.690109066283043</v>
      </c>
      <c r="AF81" s="5">
        <v>23.097123737032831</v>
      </c>
      <c r="AG81" s="7">
        <v>93.66</v>
      </c>
      <c r="AH81" s="5">
        <f t="shared" si="32"/>
        <v>3509.6767443320914</v>
      </c>
      <c r="AI81" s="5">
        <f t="shared" si="33"/>
        <v>6.6213588682851414</v>
      </c>
      <c r="AJ81" s="7">
        <v>2.16</v>
      </c>
      <c r="AK81" s="7">
        <v>317.69</v>
      </c>
      <c r="AL81" s="5">
        <f t="shared" si="23"/>
        <v>3060.8049421903893</v>
      </c>
      <c r="AM81" s="5">
        <f t="shared" si="24"/>
        <v>2960.5050766603918</v>
      </c>
      <c r="AN81" s="5">
        <f t="shared" si="25"/>
        <v>448.87180214170212</v>
      </c>
      <c r="AO81" s="5">
        <f t="shared" si="26"/>
        <v>549.17166767169965</v>
      </c>
      <c r="AP81" s="5">
        <f t="shared" si="27"/>
        <v>81.736154387710002</v>
      </c>
      <c r="AQ81" s="5">
        <v>4.97</v>
      </c>
      <c r="AR81" s="5">
        <v>5.1100000000000003</v>
      </c>
      <c r="AS81" s="5">
        <v>32</v>
      </c>
      <c r="AT81" s="5">
        <v>350.72</v>
      </c>
      <c r="AU81" s="5">
        <f t="shared" si="28"/>
        <v>0.79797340088664048</v>
      </c>
      <c r="AV81" s="5">
        <f t="shared" si="30"/>
        <v>123.86280359826941</v>
      </c>
      <c r="AW81" s="6">
        <f t="shared" si="31"/>
        <v>71.177584212390371</v>
      </c>
      <c r="AX81" s="6">
        <v>165.94300000000001</v>
      </c>
      <c r="AY81" s="5">
        <f t="shared" si="34"/>
        <v>708908496</v>
      </c>
      <c r="AZ81" s="5">
        <f t="shared" si="13"/>
        <v>2521.9982781315593</v>
      </c>
      <c r="BA81" s="5">
        <f t="shared" si="29"/>
        <v>2692.7165045180009</v>
      </c>
      <c r="BB81" s="6">
        <v>296.52999999999997</v>
      </c>
      <c r="BC81" s="6">
        <v>281.08999999999997</v>
      </c>
      <c r="BD81" s="6">
        <v>4272</v>
      </c>
    </row>
    <row r="82" spans="1:56" x14ac:dyDescent="0.2">
      <c r="A82" s="2">
        <v>81</v>
      </c>
      <c r="B82" s="4">
        <v>45370</v>
      </c>
      <c r="C82" s="5">
        <v>824.52412414550781</v>
      </c>
      <c r="D82" s="5">
        <v>569.08625284830703</v>
      </c>
      <c r="E82" s="5">
        <v>14.19961489836375</v>
      </c>
      <c r="F82" s="5">
        <v>566.71897379557288</v>
      </c>
      <c r="G82" s="5">
        <v>75.351401329040527</v>
      </c>
      <c r="H82" s="5">
        <v>0.96899383179596044</v>
      </c>
      <c r="I82" s="5">
        <v>248.81666119893401</v>
      </c>
      <c r="J82" s="5">
        <v>848.00019836425781</v>
      </c>
      <c r="K82" s="5">
        <v>124.6605262226529</v>
      </c>
      <c r="L82" s="5">
        <v>4.7441506584485369</v>
      </c>
      <c r="M82" s="5">
        <v>567.00163650512707</v>
      </c>
      <c r="N82" s="5">
        <v>14.1005699634552</v>
      </c>
      <c r="O82" s="5">
        <v>566.71897379557288</v>
      </c>
      <c r="P82" s="5">
        <v>1.9500373800595601</v>
      </c>
      <c r="Q82" s="5">
        <v>10.631867249806721</v>
      </c>
      <c r="R82" s="5">
        <v>2.1768301079670578</v>
      </c>
      <c r="S82" s="5">
        <v>15.57007312774658</v>
      </c>
      <c r="T82" s="5">
        <v>-93.359480645921508</v>
      </c>
      <c r="U82" s="5">
        <v>35.527703205744437</v>
      </c>
      <c r="V82" s="5">
        <v>451.99875892667689</v>
      </c>
      <c r="W82" s="5">
        <v>157.92898510978361</v>
      </c>
      <c r="X82" s="5">
        <v>490.28676433842998</v>
      </c>
      <c r="Y82" s="5">
        <v>99081.259100094219</v>
      </c>
      <c r="Z82" s="5">
        <v>6.497934589289617</v>
      </c>
      <c r="AA82" s="5">
        <v>11.31529364062585</v>
      </c>
      <c r="AB82" s="5">
        <v>103.8217665099916</v>
      </c>
      <c r="AC82" s="5">
        <v>-0.25370731607937591</v>
      </c>
      <c r="AD82" s="5">
        <v>435.44644517220502</v>
      </c>
      <c r="AE82" s="5">
        <v>49.651646680604493</v>
      </c>
      <c r="AF82" s="5">
        <v>22.942572359988009</v>
      </c>
      <c r="AG82" s="7">
        <v>93.66</v>
      </c>
      <c r="AH82" s="5">
        <f t="shared" si="32"/>
        <v>3509.5598561391885</v>
      </c>
      <c r="AI82" s="5">
        <f t="shared" si="33"/>
        <v>6.6171177405937307</v>
      </c>
      <c r="AJ82" s="7">
        <v>2.1800000000000002</v>
      </c>
      <c r="AK82" s="7">
        <v>317.62</v>
      </c>
      <c r="AL82" s="5">
        <f t="shared" si="23"/>
        <v>3060.1283507035305</v>
      </c>
      <c r="AM82" s="5">
        <f t="shared" si="24"/>
        <v>2960.3545569143644</v>
      </c>
      <c r="AN82" s="5">
        <f t="shared" si="25"/>
        <v>449.43150543565798</v>
      </c>
      <c r="AO82" s="5">
        <f t="shared" si="26"/>
        <v>549.2052992248241</v>
      </c>
      <c r="AP82" s="5">
        <f t="shared" si="27"/>
        <v>81.833060618680875</v>
      </c>
      <c r="AQ82" s="5">
        <v>4.75</v>
      </c>
      <c r="AR82" s="5">
        <v>4.99</v>
      </c>
      <c r="AS82" s="5">
        <v>34</v>
      </c>
      <c r="AT82" s="5">
        <v>350.98</v>
      </c>
      <c r="AU82" s="5">
        <f t="shared" si="28"/>
        <v>1.357636706473917</v>
      </c>
      <c r="AV82" s="5">
        <f t="shared" si="30"/>
        <v>125.89136680493405</v>
      </c>
      <c r="AW82" s="6">
        <f t="shared" si="31"/>
        <v>71.010358128293888</v>
      </c>
      <c r="AX82" s="6">
        <v>169.3</v>
      </c>
      <c r="AY82" s="5">
        <f t="shared" si="34"/>
        <v>723249600.00000012</v>
      </c>
      <c r="AZ82" s="5">
        <f t="shared" si="13"/>
        <v>2548.2686209569451</v>
      </c>
      <c r="BA82" s="5">
        <f t="shared" si="29"/>
        <v>2720.7651302124123</v>
      </c>
      <c r="BB82" s="6">
        <v>299.5</v>
      </c>
      <c r="BC82" s="6">
        <v>283.82</v>
      </c>
      <c r="BD82" s="6">
        <v>4272</v>
      </c>
    </row>
    <row r="83" spans="1:56" x14ac:dyDescent="0.2">
      <c r="A83" s="2">
        <v>82</v>
      </c>
      <c r="B83" s="4">
        <v>45371</v>
      </c>
      <c r="C83" s="5">
        <v>814.39408620198571</v>
      </c>
      <c r="D83" s="5">
        <v>569.04776382446335</v>
      </c>
      <c r="E83" s="5">
        <v>14.063099090258291</v>
      </c>
      <c r="F83" s="5">
        <v>566.66695149739587</v>
      </c>
      <c r="G83" s="5">
        <v>72.612339496612549</v>
      </c>
      <c r="H83" s="5">
        <v>0.48992222270492652</v>
      </c>
      <c r="I83" s="5">
        <v>248.20170307159421</v>
      </c>
      <c r="J83" s="5">
        <v>838.78719329833984</v>
      </c>
      <c r="K83" s="5">
        <v>125.0755926238168</v>
      </c>
      <c r="L83" s="5">
        <v>4.9455076058705636</v>
      </c>
      <c r="M83" s="5">
        <v>566.92913055420001</v>
      </c>
      <c r="N83" s="5">
        <v>13.96803327401479</v>
      </c>
      <c r="O83" s="5">
        <v>566.66695149739587</v>
      </c>
      <c r="P83" s="5">
        <v>1.9255139182011289</v>
      </c>
      <c r="Q83" s="5">
        <v>10.50293588638306</v>
      </c>
      <c r="R83" s="5">
        <v>2.1501472741365379</v>
      </c>
      <c r="S83" s="5">
        <v>15.4369922876358</v>
      </c>
      <c r="T83" s="5">
        <v>-93.352774726019959</v>
      </c>
      <c r="U83" s="5">
        <v>35.583146651585892</v>
      </c>
      <c r="V83" s="5">
        <v>472.46228772909552</v>
      </c>
      <c r="W83" s="5">
        <v>154.91206912930221</v>
      </c>
      <c r="X83" s="5">
        <v>477.27168810435802</v>
      </c>
      <c r="Y83" s="5">
        <v>95918.880366259997</v>
      </c>
      <c r="Z83" s="5">
        <v>6.5923751570539784</v>
      </c>
      <c r="AA83" s="5">
        <v>11.750691804077279</v>
      </c>
      <c r="AB83" s="5">
        <v>94.996258213085142</v>
      </c>
      <c r="AC83" s="5">
        <v>-0.23831213246377411</v>
      </c>
      <c r="AD83" s="5">
        <v>452.20187269630583</v>
      </c>
      <c r="AE83" s="5">
        <v>49.688988527951757</v>
      </c>
      <c r="AF83" s="5">
        <v>18.358194847079869</v>
      </c>
      <c r="AG83" s="7">
        <v>93.61</v>
      </c>
      <c r="AH83" s="5">
        <f t="shared" si="32"/>
        <v>3510.7808833684971</v>
      </c>
      <c r="AI83" s="5">
        <f t="shared" si="33"/>
        <v>6.6226702133663311</v>
      </c>
      <c r="AJ83" s="7">
        <v>2.15</v>
      </c>
      <c r="AK83" s="7">
        <v>317.89999999999998</v>
      </c>
      <c r="AL83" s="5">
        <f t="shared" si="23"/>
        <v>3061.5456634599054</v>
      </c>
      <c r="AM83" s="5">
        <f t="shared" si="24"/>
        <v>2960.1285951580885</v>
      </c>
      <c r="AN83" s="5">
        <f t="shared" si="25"/>
        <v>449.23521990859172</v>
      </c>
      <c r="AO83" s="5">
        <f t="shared" si="26"/>
        <v>550.65228821040864</v>
      </c>
      <c r="AP83" s="5">
        <f t="shared" si="27"/>
        <v>81.582375943371247</v>
      </c>
      <c r="AQ83" s="5">
        <v>4.93</v>
      </c>
      <c r="AR83" s="5">
        <v>4.88</v>
      </c>
      <c r="AS83" s="5">
        <v>31</v>
      </c>
      <c r="AT83" s="5">
        <v>353.98</v>
      </c>
      <c r="AU83" s="5">
        <f t="shared" si="28"/>
        <v>-0.2808988764044934</v>
      </c>
      <c r="AV83" s="5">
        <f t="shared" si="30"/>
        <v>124.81133534116563</v>
      </c>
      <c r="AW83" s="6">
        <f t="shared" si="31"/>
        <v>70.954444442019437</v>
      </c>
      <c r="AX83" s="6">
        <v>163.58699999999999</v>
      </c>
      <c r="AY83" s="5">
        <f t="shared" si="34"/>
        <v>698843664</v>
      </c>
      <c r="AZ83" s="5">
        <f t="shared" si="13"/>
        <v>2501.4986004223788</v>
      </c>
      <c r="BA83" s="5">
        <f t="shared" si="29"/>
        <v>2672.255742359127</v>
      </c>
      <c r="BB83" s="6">
        <v>295.14999999999998</v>
      </c>
      <c r="BC83" s="6">
        <v>279.37</v>
      </c>
      <c r="BD83" s="6">
        <v>4272</v>
      </c>
    </row>
    <row r="84" spans="1:56" x14ac:dyDescent="0.2">
      <c r="A84" s="2">
        <v>83</v>
      </c>
      <c r="B84" s="4">
        <v>45372</v>
      </c>
      <c r="C84" s="5">
        <v>835.51449584960938</v>
      </c>
      <c r="D84" s="5">
        <v>568.74616368611669</v>
      </c>
      <c r="E84" s="5">
        <v>14.46715701421102</v>
      </c>
      <c r="F84" s="5">
        <v>565.67179107666016</v>
      </c>
      <c r="G84" s="5">
        <v>72.758767604827881</v>
      </c>
      <c r="H84" s="5">
        <v>1.4595028845039151</v>
      </c>
      <c r="I84" s="5">
        <v>249.47790590922051</v>
      </c>
      <c r="J84" s="5">
        <v>861.06702931722009</v>
      </c>
      <c r="K84" s="5">
        <v>124.3825872209339</v>
      </c>
      <c r="L84" s="5">
        <v>4.9057577053705854</v>
      </c>
      <c r="M84" s="5">
        <v>566.64722951253248</v>
      </c>
      <c r="N84" s="5">
        <v>14.37090849876404</v>
      </c>
      <c r="O84" s="5">
        <v>565.67179107666016</v>
      </c>
      <c r="P84" s="5">
        <v>1.9764684339364369</v>
      </c>
      <c r="Q84" s="5">
        <v>10.77673610051473</v>
      </c>
      <c r="R84" s="5">
        <v>2.2056417713562628</v>
      </c>
      <c r="S84" s="5">
        <v>15.854076186815901</v>
      </c>
      <c r="T84" s="5">
        <v>-93.249176396263991</v>
      </c>
      <c r="U84" s="5">
        <v>35.881572008132927</v>
      </c>
      <c r="V84" s="5">
        <v>435.41358844507579</v>
      </c>
      <c r="W84" s="5">
        <v>141.06335416774701</v>
      </c>
      <c r="X84" s="5">
        <v>462.05414464119968</v>
      </c>
      <c r="Y84" s="5">
        <v>97753.17797140959</v>
      </c>
      <c r="Z84" s="5">
        <v>6.5120587179981442</v>
      </c>
      <c r="AA84" s="5">
        <v>11.537004413682309</v>
      </c>
      <c r="AB84" s="5">
        <v>93.692577411266129</v>
      </c>
      <c r="AC84" s="5">
        <v>-0.24253985095801511</v>
      </c>
      <c r="AD84" s="5">
        <v>443.97854085173662</v>
      </c>
      <c r="AE84" s="5">
        <v>49.700061351033092</v>
      </c>
      <c r="AF84" s="5">
        <v>20.824333014931099</v>
      </c>
      <c r="AG84" s="7">
        <v>93.73</v>
      </c>
      <c r="AH84" s="5">
        <f t="shared" si="32"/>
        <v>3506.0639907411582</v>
      </c>
      <c r="AI84" s="5">
        <f t="shared" si="33"/>
        <v>6.6050497740681857</v>
      </c>
      <c r="AJ84" s="7">
        <v>2.21</v>
      </c>
      <c r="AK84" s="7">
        <v>317.05</v>
      </c>
      <c r="AL84" s="5">
        <f t="shared" si="23"/>
        <v>3058.0354140359536</v>
      </c>
      <c r="AM84" s="5">
        <f t="shared" si="24"/>
        <v>2956.9598994306448</v>
      </c>
      <c r="AN84" s="5">
        <f t="shared" si="25"/>
        <v>448.02857670520461</v>
      </c>
      <c r="AO84" s="5">
        <f t="shared" si="26"/>
        <v>549.10409131051347</v>
      </c>
      <c r="AP84" s="5">
        <f t="shared" si="27"/>
        <v>81.592649516765022</v>
      </c>
      <c r="AQ84" s="5">
        <v>4.99</v>
      </c>
      <c r="AR84" s="5">
        <v>4.7699999999999996</v>
      </c>
      <c r="AS84" s="5">
        <v>32</v>
      </c>
      <c r="AT84" s="5">
        <v>352.58</v>
      </c>
      <c r="AU84" s="5">
        <f t="shared" si="28"/>
        <v>-1.2275263484190986</v>
      </c>
      <c r="AV84" s="5">
        <f t="shared" si="30"/>
        <v>123.24856662144568</v>
      </c>
      <c r="AW84" s="6">
        <f t="shared" si="31"/>
        <v>71.536413181906028</v>
      </c>
      <c r="AX84" s="6">
        <v>167.958</v>
      </c>
      <c r="AY84" s="5">
        <f t="shared" si="34"/>
        <v>717516576</v>
      </c>
      <c r="AZ84" s="5">
        <f t="shared" si="13"/>
        <v>2496.3176286400167</v>
      </c>
      <c r="BA84" s="5">
        <f t="shared" si="29"/>
        <v>2663.3069760375724</v>
      </c>
      <c r="BB84" s="6">
        <v>303.06</v>
      </c>
      <c r="BC84" s="6">
        <v>287.43</v>
      </c>
      <c r="BD84" s="6">
        <v>4272</v>
      </c>
    </row>
    <row r="85" spans="1:56" x14ac:dyDescent="0.2">
      <c r="A85" s="2">
        <v>84</v>
      </c>
      <c r="B85" s="4">
        <v>45373</v>
      </c>
      <c r="C85" s="5">
        <v>817.29792785644531</v>
      </c>
      <c r="D85" s="5">
        <v>567.9504419962567</v>
      </c>
      <c r="E85" s="5">
        <v>14.006574575106301</v>
      </c>
      <c r="F85" s="5">
        <v>565.51153310139978</v>
      </c>
      <c r="G85" s="5">
        <v>74.675426483154297</v>
      </c>
      <c r="H85" s="5">
        <v>2.2220023763781378</v>
      </c>
      <c r="I85" s="5">
        <v>248.2890068689982</v>
      </c>
      <c r="J85" s="5">
        <v>838.62154388427734</v>
      </c>
      <c r="K85" s="5">
        <v>125.70763688617291</v>
      </c>
      <c r="L85" s="5">
        <v>4.9646684924761457</v>
      </c>
      <c r="M85" s="5">
        <v>566.02963892618834</v>
      </c>
      <c r="N85" s="5">
        <v>13.911150058110559</v>
      </c>
      <c r="O85" s="5">
        <v>565.51153310139978</v>
      </c>
      <c r="P85" s="5">
        <v>1.932869414488475</v>
      </c>
      <c r="Q85" s="5">
        <v>10.5237090587616</v>
      </c>
      <c r="R85" s="5">
        <v>2.157441745201746</v>
      </c>
      <c r="S85" s="5">
        <v>15.387320796648661</v>
      </c>
      <c r="T85" s="5">
        <v>-93.179172144995789</v>
      </c>
      <c r="U85" s="5">
        <v>36.123384714126587</v>
      </c>
      <c r="V85" s="5">
        <v>463.09763297289811</v>
      </c>
      <c r="W85" s="5">
        <v>155.11032578678959</v>
      </c>
      <c r="X85" s="5">
        <v>453.48114308907702</v>
      </c>
      <c r="Y85" s="5">
        <v>97131.637576966605</v>
      </c>
      <c r="Z85" s="5">
        <v>6.6480059980559973</v>
      </c>
      <c r="AA85" s="5">
        <v>11.55670262177409</v>
      </c>
      <c r="AB85" s="5">
        <v>87.778890527163654</v>
      </c>
      <c r="AC85" s="5">
        <v>-0.2221980459193143</v>
      </c>
      <c r="AD85" s="5">
        <v>444.73658699373181</v>
      </c>
      <c r="AE85" s="5">
        <v>49.703975730643357</v>
      </c>
      <c r="AF85" s="5">
        <v>30.215877850634591</v>
      </c>
      <c r="AG85" s="7">
        <v>93.600000000000009</v>
      </c>
      <c r="AH85" s="5">
        <f t="shared" si="32"/>
        <v>3508.4434980894657</v>
      </c>
      <c r="AI85" s="5">
        <f t="shared" si="33"/>
        <v>6.6216040799691145</v>
      </c>
      <c r="AJ85" s="7">
        <v>2.16</v>
      </c>
      <c r="AK85" s="7">
        <v>317.73</v>
      </c>
      <c r="AL85" s="5">
        <f t="shared" si="23"/>
        <v>3060.8971050213177</v>
      </c>
      <c r="AM85" s="5">
        <f t="shared" si="24"/>
        <v>2960.6395726545306</v>
      </c>
      <c r="AN85" s="5">
        <f t="shared" si="25"/>
        <v>447.54639306814806</v>
      </c>
      <c r="AO85" s="5">
        <f t="shared" si="26"/>
        <v>547.80392543493508</v>
      </c>
      <c r="AP85" s="5">
        <f t="shared" si="27"/>
        <v>81.698281499683219</v>
      </c>
      <c r="AQ85" s="5">
        <v>4.92</v>
      </c>
      <c r="AR85" s="5">
        <v>4.82</v>
      </c>
      <c r="AS85" s="5">
        <v>33</v>
      </c>
      <c r="AT85" s="5">
        <v>361.15</v>
      </c>
      <c r="AU85" s="5">
        <f t="shared" si="28"/>
        <v>-0.5597014925373115</v>
      </c>
      <c r="AV85" s="5">
        <f t="shared" si="30"/>
        <v>125.18875085882493</v>
      </c>
      <c r="AW85" s="6">
        <f t="shared" si="31"/>
        <v>71.90652114617555</v>
      </c>
      <c r="AX85" s="6">
        <v>164.49799999999999</v>
      </c>
      <c r="AY85" s="5">
        <f t="shared" si="34"/>
        <v>702735456</v>
      </c>
      <c r="AZ85" s="5">
        <f t="shared" si="13"/>
        <v>2512.9106239942785</v>
      </c>
      <c r="BA85" s="5">
        <f t="shared" si="29"/>
        <v>2684.7335726434599</v>
      </c>
      <c r="BB85" s="6">
        <v>294.97000000000003</v>
      </c>
      <c r="BC85" s="6">
        <v>279.64999999999998</v>
      </c>
      <c r="BD85" s="6">
        <v>4272</v>
      </c>
    </row>
    <row r="86" spans="1:56" x14ac:dyDescent="0.2">
      <c r="A86" s="2">
        <v>85</v>
      </c>
      <c r="B86" s="4">
        <v>45374</v>
      </c>
      <c r="C86" s="5">
        <v>836.08713785807288</v>
      </c>
      <c r="D86" s="5">
        <v>568.71389897664415</v>
      </c>
      <c r="E86" s="5">
        <v>14.405041432380679</v>
      </c>
      <c r="F86" s="5">
        <v>566.06281534830725</v>
      </c>
      <c r="G86" s="5">
        <v>66.852630456288651</v>
      </c>
      <c r="H86" s="5">
        <v>9.715001307881721E-2</v>
      </c>
      <c r="I86" s="5">
        <v>249.5670401255291</v>
      </c>
      <c r="J86" s="5">
        <v>863.86925506591797</v>
      </c>
      <c r="K86" s="5">
        <v>125.1494588851929</v>
      </c>
      <c r="L86" s="5">
        <v>4.9499532580375671</v>
      </c>
      <c r="M86" s="5">
        <v>566.7089551289879</v>
      </c>
      <c r="N86" s="5">
        <v>14.304411093393959</v>
      </c>
      <c r="O86" s="5">
        <v>566.06281534830725</v>
      </c>
      <c r="P86" s="5">
        <v>1.977368791898092</v>
      </c>
      <c r="Q86" s="5">
        <v>10.801315029462179</v>
      </c>
      <c r="R86" s="5">
        <v>2.206694747010864</v>
      </c>
      <c r="S86" s="5">
        <v>15.842870275179539</v>
      </c>
      <c r="T86" s="5">
        <v>-93.132480621337905</v>
      </c>
      <c r="U86" s="5">
        <v>36.245582342147827</v>
      </c>
      <c r="V86" s="5">
        <v>461.81231268576329</v>
      </c>
      <c r="W86" s="5">
        <v>154.81630782142039</v>
      </c>
      <c r="X86" s="5">
        <v>450.2181326954223</v>
      </c>
      <c r="Y86" s="5">
        <v>98291.431746861766</v>
      </c>
      <c r="Z86" s="5">
        <v>6.5195866809915648</v>
      </c>
      <c r="AA86" s="5">
        <v>11.934692814184739</v>
      </c>
      <c r="AB86" s="5">
        <v>98.547495535094129</v>
      </c>
      <c r="AC86" s="5">
        <v>-0.24209037931463859</v>
      </c>
      <c r="AD86" s="5">
        <v>459.2827835682711</v>
      </c>
      <c r="AE86" s="5">
        <v>49.69458570106061</v>
      </c>
      <c r="AF86" s="5">
        <v>30.063899345155281</v>
      </c>
      <c r="AG86" s="7">
        <v>93.57</v>
      </c>
      <c r="AH86" s="5">
        <f t="shared" si="32"/>
        <v>3506.5828199138887</v>
      </c>
      <c r="AI86" s="5">
        <f t="shared" si="33"/>
        <v>6.6074895190902216</v>
      </c>
      <c r="AJ86" s="7">
        <v>2.21</v>
      </c>
      <c r="AK86" s="7">
        <v>317.14</v>
      </c>
      <c r="AL86" s="5">
        <f t="shared" si="23"/>
        <v>3058.2436683079727</v>
      </c>
      <c r="AM86" s="5">
        <f t="shared" si="24"/>
        <v>2958.296901648263</v>
      </c>
      <c r="AN86" s="5">
        <f t="shared" si="25"/>
        <v>448.33915160591596</v>
      </c>
      <c r="AO86" s="5">
        <f t="shared" si="26"/>
        <v>548.2859182656257</v>
      </c>
      <c r="AP86" s="5">
        <f t="shared" si="27"/>
        <v>81.771049861016323</v>
      </c>
      <c r="AQ86" s="5">
        <v>5.01</v>
      </c>
      <c r="AR86" s="5">
        <v>4.9400000000000004</v>
      </c>
      <c r="AS86" s="5">
        <v>33</v>
      </c>
      <c r="AT86" s="5">
        <v>360.58</v>
      </c>
      <c r="AU86" s="5">
        <f t="shared" si="28"/>
        <v>-0.39473684210525983</v>
      </c>
      <c r="AV86" s="5">
        <f t="shared" si="30"/>
        <v>124.7857110211724</v>
      </c>
      <c r="AW86" s="6">
        <f t="shared" si="31"/>
        <v>71.980673111553699</v>
      </c>
      <c r="AX86" s="6">
        <v>167.39699999999999</v>
      </c>
      <c r="AY86" s="5">
        <f t="shared" si="34"/>
        <v>715119983.99999988</v>
      </c>
      <c r="AZ86" s="5">
        <f t="shared" si="13"/>
        <v>2488.0661888525497</v>
      </c>
      <c r="BA86" s="5">
        <f t="shared" si="29"/>
        <v>2659.0426299589076</v>
      </c>
      <c r="BB86" s="6">
        <v>302.8</v>
      </c>
      <c r="BC86" s="6">
        <v>287.42</v>
      </c>
      <c r="BD86" s="6">
        <v>4272</v>
      </c>
    </row>
    <row r="87" spans="1:56" x14ac:dyDescent="0.2">
      <c r="A87" s="2">
        <v>86</v>
      </c>
      <c r="B87" s="4">
        <v>45375</v>
      </c>
      <c r="C87" s="5">
        <v>815.1527430216471</v>
      </c>
      <c r="D87" s="5">
        <v>569.37090555826853</v>
      </c>
      <c r="E87" s="5">
        <v>13.97973389625548</v>
      </c>
      <c r="F87" s="5">
        <v>565.06232452392578</v>
      </c>
      <c r="G87" s="5">
        <v>67.540004094441727</v>
      </c>
      <c r="H87" s="5">
        <v>5.8934139821455274E-3</v>
      </c>
      <c r="I87" s="5">
        <v>248.35001118977871</v>
      </c>
      <c r="J87" s="5">
        <v>845.51323191324866</v>
      </c>
      <c r="K87" s="5">
        <v>128.69056653976449</v>
      </c>
      <c r="L87" s="5">
        <v>4.8923215071360273</v>
      </c>
      <c r="M87" s="5">
        <v>567.18420918782624</v>
      </c>
      <c r="N87" s="5">
        <v>13.87853074073792</v>
      </c>
      <c r="O87" s="5">
        <v>565.06232452392578</v>
      </c>
      <c r="P87" s="5">
        <v>1.9264142562945681</v>
      </c>
      <c r="Q87" s="5">
        <v>10.56671472390493</v>
      </c>
      <c r="R87" s="5">
        <v>2.151726747552551</v>
      </c>
      <c r="S87" s="5">
        <v>15.41926956176758</v>
      </c>
      <c r="T87" s="5">
        <v>-93.158227284749387</v>
      </c>
      <c r="U87" s="5">
        <v>36.108932495117188</v>
      </c>
      <c r="V87" s="5">
        <v>458.20238988515388</v>
      </c>
      <c r="W87" s="5">
        <v>155.41442443140059</v>
      </c>
      <c r="X87" s="5">
        <v>451.60662530448923</v>
      </c>
      <c r="Y87" s="5">
        <v>98273.132958772898</v>
      </c>
      <c r="Z87" s="5">
        <v>6.5068967314138986</v>
      </c>
      <c r="AA87" s="5">
        <v>11.75490274534004</v>
      </c>
      <c r="AB87" s="5">
        <v>98.822053726997908</v>
      </c>
      <c r="AC87" s="5">
        <v>-0.2426027331815292</v>
      </c>
      <c r="AD87" s="5">
        <v>452.36392234892122</v>
      </c>
      <c r="AE87" s="5">
        <v>49.685831618293939</v>
      </c>
      <c r="AF87" s="5">
        <v>32.594260433822527</v>
      </c>
      <c r="AG87" s="7">
        <v>93.65</v>
      </c>
      <c r="AH87" s="5">
        <f t="shared" si="32"/>
        <v>3512.4363118903102</v>
      </c>
      <c r="AI87" s="5">
        <f t="shared" si="33"/>
        <v>6.6271623812005602</v>
      </c>
      <c r="AJ87" s="7">
        <v>2.15</v>
      </c>
      <c r="AK87" s="7">
        <v>317.94</v>
      </c>
      <c r="AL87" s="5">
        <f t="shared" si="23"/>
        <v>3061.6377404702926</v>
      </c>
      <c r="AM87" s="5">
        <f t="shared" si="24"/>
        <v>2962.5933042323563</v>
      </c>
      <c r="AN87" s="5">
        <f t="shared" si="25"/>
        <v>450.79857142001765</v>
      </c>
      <c r="AO87" s="5">
        <f t="shared" si="26"/>
        <v>549.84300765795388</v>
      </c>
      <c r="AP87" s="5">
        <f t="shared" si="27"/>
        <v>81.986778979000903</v>
      </c>
      <c r="AQ87" s="5">
        <v>4.09</v>
      </c>
      <c r="AR87" s="5">
        <v>4.82</v>
      </c>
      <c r="AS87" s="5">
        <v>35</v>
      </c>
      <c r="AT87" s="5">
        <v>360.31</v>
      </c>
      <c r="AU87" s="5">
        <f t="shared" si="28"/>
        <v>4.0858208955223905</v>
      </c>
      <c r="AV87" s="5">
        <f t="shared" si="30"/>
        <v>132.5185952845795</v>
      </c>
      <c r="AW87" s="6">
        <f t="shared" si="31"/>
        <v>70.022871942276751</v>
      </c>
      <c r="AX87" s="6">
        <v>165.3</v>
      </c>
      <c r="AY87" s="5">
        <f t="shared" si="34"/>
        <v>706161600.00000012</v>
      </c>
      <c r="AZ87" s="5">
        <f t="shared" si="13"/>
        <v>2528.4170575387593</v>
      </c>
      <c r="BA87" s="5">
        <f t="shared" si="29"/>
        <v>2699.8580432875165</v>
      </c>
      <c r="BB87" s="6">
        <v>294.68</v>
      </c>
      <c r="BC87" s="6">
        <v>279.29000000000002</v>
      </c>
      <c r="BD87" s="6">
        <v>4272</v>
      </c>
    </row>
    <row r="88" spans="1:56" x14ac:dyDescent="0.2">
      <c r="A88" s="2">
        <v>87</v>
      </c>
      <c r="B88" s="4">
        <v>45376</v>
      </c>
      <c r="C88" s="5">
        <v>828.79991404215491</v>
      </c>
      <c r="D88" s="5">
        <v>568.23503112793026</v>
      </c>
      <c r="E88" s="5">
        <v>14.279826943079639</v>
      </c>
      <c r="F88" s="5">
        <v>566.095957438151</v>
      </c>
      <c r="G88" s="5">
        <v>62.186177094777427</v>
      </c>
      <c r="H88" s="5">
        <v>0.218500044010636</v>
      </c>
      <c r="I88" s="5">
        <v>249.21468798319489</v>
      </c>
      <c r="J88" s="5">
        <v>855.42256673177087</v>
      </c>
      <c r="K88" s="5">
        <v>125.6457377009921</v>
      </c>
      <c r="L88" s="5">
        <v>4.9837920665740967</v>
      </c>
      <c r="M88" s="5">
        <v>566.13882827758812</v>
      </c>
      <c r="N88" s="5">
        <v>14.17971444129944</v>
      </c>
      <c r="O88" s="5">
        <v>566.095957438151</v>
      </c>
      <c r="P88" s="5">
        <v>1.9600787311792369</v>
      </c>
      <c r="Q88" s="5">
        <v>10.71155536174774</v>
      </c>
      <c r="R88" s="5">
        <v>2.1879015415906879</v>
      </c>
      <c r="S88" s="5">
        <v>15.73037366072337</v>
      </c>
      <c r="T88" s="5">
        <v>-93.181291633182084</v>
      </c>
      <c r="U88" s="5">
        <v>36.137142896652207</v>
      </c>
      <c r="V88" s="5">
        <v>446.14501603266172</v>
      </c>
      <c r="W88" s="5">
        <v>151.24286631390851</v>
      </c>
      <c r="X88" s="5">
        <v>456.62748567578399</v>
      </c>
      <c r="Y88" s="5">
        <v>97471.903694962806</v>
      </c>
      <c r="Z88" s="5">
        <v>6.6432851993542092</v>
      </c>
      <c r="AA88" s="5">
        <v>11.774202668395651</v>
      </c>
      <c r="AB88" s="5">
        <v>95.69311089070915</v>
      </c>
      <c r="AC88" s="5">
        <v>-0.23690840881416531</v>
      </c>
      <c r="AD88" s="5">
        <v>453.10664128786988</v>
      </c>
      <c r="AE88" s="5">
        <v>49.692150516106501</v>
      </c>
      <c r="AF88" s="5">
        <v>25.83845124072565</v>
      </c>
      <c r="AG88" s="5">
        <v>93.53</v>
      </c>
      <c r="AH88" s="5">
        <f t="shared" si="32"/>
        <v>3506.5358959860132</v>
      </c>
      <c r="AI88" s="5">
        <f t="shared" si="33"/>
        <v>6.6111353944116322</v>
      </c>
      <c r="AJ88" s="5">
        <v>2.19</v>
      </c>
      <c r="AK88" s="5">
        <v>317.08999999999997</v>
      </c>
      <c r="AL88" s="5">
        <f t="shared" si="23"/>
        <v>3058.6461629075757</v>
      </c>
      <c r="AM88" s="5">
        <f t="shared" si="24"/>
        <v>2958.1536426874095</v>
      </c>
      <c r="AN88" s="5">
        <f t="shared" si="25"/>
        <v>447.88973307843753</v>
      </c>
      <c r="AO88" s="5">
        <f t="shared" si="26"/>
        <v>548.3822532986037</v>
      </c>
      <c r="AP88" s="5">
        <f t="shared" si="27"/>
        <v>81.674731518810432</v>
      </c>
      <c r="AQ88" s="5">
        <v>4.97</v>
      </c>
      <c r="AR88" s="5">
        <v>4.84</v>
      </c>
      <c r="AS88" s="5">
        <v>34</v>
      </c>
      <c r="AT88" s="5">
        <v>360.12</v>
      </c>
      <c r="AU88" s="5">
        <f t="shared" si="28"/>
        <v>-0.72851805728518004</v>
      </c>
      <c r="AV88" s="5">
        <f t="shared" si="30"/>
        <v>124.97808195310816</v>
      </c>
      <c r="AW88" s="6">
        <f t="shared" si="31"/>
        <v>72.102881775693561</v>
      </c>
      <c r="AX88" s="5">
        <v>167.23</v>
      </c>
      <c r="AY88" s="5">
        <f t="shared" ref="AY88:AY92" si="35">+AX88*BD88*1000</f>
        <v>714406559.99999988</v>
      </c>
      <c r="AZ88" s="5">
        <f t="shared" ref="AZ88:AZ92" si="36">+AY88/(BC88*1000)</f>
        <v>2508.9785769473901</v>
      </c>
      <c r="BA88" s="5">
        <f t="shared" si="29"/>
        <v>2682.5388398881537</v>
      </c>
      <c r="BB88" s="5">
        <v>300.2</v>
      </c>
      <c r="BC88" s="5">
        <v>284.74</v>
      </c>
      <c r="BD88" s="6">
        <v>4272</v>
      </c>
    </row>
    <row r="89" spans="1:56" x14ac:dyDescent="0.2">
      <c r="A89" s="2">
        <v>88</v>
      </c>
      <c r="B89" s="4">
        <v>45377</v>
      </c>
      <c r="C89" s="5">
        <v>815.58297220865882</v>
      </c>
      <c r="D89" s="5">
        <v>569.24737294514978</v>
      </c>
      <c r="E89" s="5">
        <v>14.03852943579356</v>
      </c>
      <c r="F89" s="5">
        <v>566.09238433837891</v>
      </c>
      <c r="G89" s="5">
        <v>71.668013254801437</v>
      </c>
      <c r="H89" s="5">
        <v>1.093641394056704</v>
      </c>
      <c r="I89" s="5">
        <v>248.4129015604654</v>
      </c>
      <c r="J89" s="5">
        <v>840.11364491780603</v>
      </c>
      <c r="K89" s="5">
        <v>124.3199902110629</v>
      </c>
      <c r="L89" s="5">
        <v>5.019853850205739</v>
      </c>
      <c r="M89" s="5">
        <v>567.13677342732774</v>
      </c>
      <c r="N89" s="5">
        <v>13.93455557028452</v>
      </c>
      <c r="O89" s="5">
        <v>566.09238433837891</v>
      </c>
      <c r="P89" s="5">
        <v>1.928703313072522</v>
      </c>
      <c r="Q89" s="5">
        <v>10.537071267763769</v>
      </c>
      <c r="R89" s="5">
        <v>2.1532375067472431</v>
      </c>
      <c r="S89" s="5">
        <v>15.40536153316498</v>
      </c>
      <c r="T89" s="5">
        <v>-93.241344875759566</v>
      </c>
      <c r="U89" s="5">
        <v>35.995552539825447</v>
      </c>
      <c r="V89" s="5">
        <v>437.76247428837809</v>
      </c>
      <c r="W89" s="5">
        <v>146.99662769864381</v>
      </c>
      <c r="X89" s="5">
        <v>461.25897229520223</v>
      </c>
      <c r="Y89" s="5">
        <v>99445.688260362658</v>
      </c>
      <c r="Z89" s="5">
        <v>6.515252073649326</v>
      </c>
      <c r="AA89" s="5">
        <v>11.60544266013185</v>
      </c>
      <c r="AB89" s="5">
        <v>116.6252642164156</v>
      </c>
      <c r="AC89" s="5">
        <v>-0.28982323720211473</v>
      </c>
      <c r="AD89" s="5">
        <v>446.61224988985413</v>
      </c>
      <c r="AE89" s="5">
        <v>49.682377930618522</v>
      </c>
      <c r="AF89" s="5">
        <v>26.492019806771811</v>
      </c>
      <c r="AG89" s="5">
        <v>93.67</v>
      </c>
      <c r="AH89" s="5">
        <f t="shared" si="32"/>
        <v>3511.5434253736253</v>
      </c>
      <c r="AI89" s="5">
        <f t="shared" si="33"/>
        <v>6.6243185518568994</v>
      </c>
      <c r="AJ89" s="5">
        <v>2.15</v>
      </c>
      <c r="AK89" s="5">
        <v>318.14</v>
      </c>
      <c r="AL89" s="5">
        <f t="shared" si="23"/>
        <v>3062.098070940207</v>
      </c>
      <c r="AM89" s="5">
        <f t="shared" si="24"/>
        <v>2961.0324617096971</v>
      </c>
      <c r="AN89" s="5">
        <f t="shared" si="25"/>
        <v>449.44535443341829</v>
      </c>
      <c r="AO89" s="5">
        <f t="shared" si="26"/>
        <v>550.51096366392812</v>
      </c>
      <c r="AP89" s="5">
        <f t="shared" si="27"/>
        <v>81.641490197058516</v>
      </c>
      <c r="AQ89" s="5">
        <v>5.18</v>
      </c>
      <c r="AR89" s="5">
        <v>4.9000000000000004</v>
      </c>
      <c r="AS89" s="5">
        <v>33</v>
      </c>
      <c r="AT89" s="5">
        <v>358.66</v>
      </c>
      <c r="AU89" s="5">
        <f t="shared" si="28"/>
        <v>-1.5749999999999966</v>
      </c>
      <c r="AV89" s="5">
        <f t="shared" si="30"/>
        <v>122.88170036523866</v>
      </c>
      <c r="AW89" s="6">
        <f t="shared" si="31"/>
        <v>72.400141139458739</v>
      </c>
      <c r="AX89" s="5">
        <v>163.69</v>
      </c>
      <c r="AY89" s="5">
        <f t="shared" si="35"/>
        <v>699283679.99999988</v>
      </c>
      <c r="AZ89" s="5">
        <f t="shared" si="36"/>
        <v>2498.2447215176303</v>
      </c>
      <c r="BA89" s="5">
        <f t="shared" si="29"/>
        <v>2667.0702695821824</v>
      </c>
      <c r="BB89" s="5">
        <v>294.97000000000003</v>
      </c>
      <c r="BC89" s="5">
        <v>279.91000000000003</v>
      </c>
      <c r="BD89" s="6">
        <v>4272</v>
      </c>
    </row>
    <row r="90" spans="1:56" x14ac:dyDescent="0.2">
      <c r="A90" s="2">
        <v>89</v>
      </c>
      <c r="B90" s="4">
        <v>45378</v>
      </c>
      <c r="C90" s="5">
        <v>821.980702718099</v>
      </c>
      <c r="D90" s="5">
        <v>568.7953516642259</v>
      </c>
      <c r="E90" s="5">
        <v>14.21505298614502</v>
      </c>
      <c r="F90" s="5">
        <v>566.50144704182946</v>
      </c>
      <c r="G90" s="5">
        <v>63.79864764213562</v>
      </c>
      <c r="H90" s="5">
        <v>0.57256069803022791</v>
      </c>
      <c r="I90" s="5">
        <v>248.88264020284021</v>
      </c>
      <c r="J90" s="5">
        <v>845.50590515136719</v>
      </c>
      <c r="K90" s="5">
        <v>124.1935403082106</v>
      </c>
      <c r="L90" s="5">
        <v>5.0201766490936279</v>
      </c>
      <c r="M90" s="5">
        <v>566.64182790120481</v>
      </c>
      <c r="N90" s="5">
        <v>14.117222944895429</v>
      </c>
      <c r="O90" s="5">
        <v>566.50144704182946</v>
      </c>
      <c r="P90" s="5">
        <v>1.9442079216241841</v>
      </c>
      <c r="Q90" s="5">
        <v>10.608089526494339</v>
      </c>
      <c r="R90" s="5">
        <v>2.170207093159354</v>
      </c>
      <c r="S90" s="5">
        <v>15.613108714421591</v>
      </c>
      <c r="T90" s="5">
        <v>-93.319444868299684</v>
      </c>
      <c r="U90" s="5">
        <v>35.719669580459602</v>
      </c>
      <c r="V90" s="5">
        <v>440.64185738557973</v>
      </c>
      <c r="W90" s="5">
        <v>147.8485926163487</v>
      </c>
      <c r="X90" s="5">
        <v>467.04607600267008</v>
      </c>
      <c r="Y90" s="5">
        <v>98252.335293708238</v>
      </c>
      <c r="Z90" s="5">
        <v>6.6009021459854713</v>
      </c>
      <c r="AA90" s="5">
        <v>11.67747711827262</v>
      </c>
      <c r="AB90" s="5">
        <v>103.43762867867321</v>
      </c>
      <c r="AC90" s="5">
        <v>-0.26181664083088069</v>
      </c>
      <c r="AD90" s="5">
        <v>449.38435194248541</v>
      </c>
      <c r="AE90" s="5">
        <v>49.68723577506637</v>
      </c>
      <c r="AF90" s="5">
        <v>19.558673983487409</v>
      </c>
      <c r="AG90" s="5">
        <v>93.63</v>
      </c>
      <c r="AH90" s="5">
        <f t="shared" si="32"/>
        <v>3508.643450484652</v>
      </c>
      <c r="AI90" s="5">
        <f t="shared" si="33"/>
        <v>6.615568267599607</v>
      </c>
      <c r="AJ90" s="5">
        <v>2.1800000000000002</v>
      </c>
      <c r="AK90" s="5">
        <v>317.67</v>
      </c>
      <c r="AL90" s="5">
        <f t="shared" si="23"/>
        <v>3060.2437289666204</v>
      </c>
      <c r="AM90" s="5">
        <f t="shared" si="24"/>
        <v>2959.5046507359248</v>
      </c>
      <c r="AN90" s="5">
        <f t="shared" si="25"/>
        <v>448.39972151803158</v>
      </c>
      <c r="AO90" s="5">
        <f t="shared" si="26"/>
        <v>549.13879974872725</v>
      </c>
      <c r="AP90" s="5">
        <f t="shared" si="27"/>
        <v>81.65507913904618</v>
      </c>
      <c r="AQ90" s="5">
        <v>5.05</v>
      </c>
      <c r="AR90" s="5">
        <v>4.91</v>
      </c>
      <c r="AS90" s="5">
        <v>31</v>
      </c>
      <c r="AT90" s="5">
        <v>358.32</v>
      </c>
      <c r="AU90" s="5">
        <f t="shared" si="28"/>
        <v>-0.78799249530956672</v>
      </c>
      <c r="AV90" s="5">
        <f t="shared" si="30"/>
        <v>123.4591822044686</v>
      </c>
      <c r="AW90" s="6">
        <f t="shared" si="31"/>
        <v>71.752663386145471</v>
      </c>
      <c r="AX90" s="5">
        <v>164.97</v>
      </c>
      <c r="AY90" s="5">
        <f t="shared" si="35"/>
        <v>704751840</v>
      </c>
      <c r="AZ90" s="5">
        <f t="shared" si="36"/>
        <v>2486.1602285956187</v>
      </c>
      <c r="BA90" s="5">
        <f t="shared" si="29"/>
        <v>2655.3030317159232</v>
      </c>
      <c r="BB90" s="5">
        <v>298.58999999999997</v>
      </c>
      <c r="BC90" s="5">
        <v>283.47000000000003</v>
      </c>
      <c r="BD90" s="6">
        <v>4272</v>
      </c>
    </row>
    <row r="91" spans="1:56" x14ac:dyDescent="0.2">
      <c r="A91" s="2">
        <v>90</v>
      </c>
      <c r="B91" s="4">
        <v>45379</v>
      </c>
      <c r="C91" s="5">
        <v>813.42904663085938</v>
      </c>
      <c r="D91" s="5">
        <v>568.98424148559604</v>
      </c>
      <c r="E91" s="5">
        <v>14.05337126255035</v>
      </c>
      <c r="F91" s="5">
        <v>564.83947245279944</v>
      </c>
      <c r="G91" s="5">
        <v>58.837431271870933</v>
      </c>
      <c r="H91" s="5">
        <v>2.0367307329205889E-2</v>
      </c>
      <c r="I91" s="5">
        <v>248.26176420847571</v>
      </c>
      <c r="J91" s="5">
        <v>837.61293284098304</v>
      </c>
      <c r="K91" s="5">
        <v>126.22358878453571</v>
      </c>
      <c r="L91" s="5">
        <v>4.9930682977040606</v>
      </c>
      <c r="M91" s="5">
        <v>566.83069356282556</v>
      </c>
      <c r="N91" s="5">
        <v>13.95733181635539</v>
      </c>
      <c r="O91" s="5">
        <v>564.83947245279944</v>
      </c>
      <c r="P91" s="5">
        <v>1.9231790602207179</v>
      </c>
      <c r="Q91" s="5">
        <v>10.517499764760339</v>
      </c>
      <c r="R91" s="5">
        <v>2.147903973857558</v>
      </c>
      <c r="S91" s="5">
        <v>15.47967020670573</v>
      </c>
      <c r="T91" s="5">
        <v>-93.525036176045788</v>
      </c>
      <c r="U91" s="5">
        <v>35.088523705800377</v>
      </c>
      <c r="V91" s="5">
        <v>459.67457137383821</v>
      </c>
      <c r="W91" s="5">
        <v>146.75481223825801</v>
      </c>
      <c r="X91" s="5">
        <v>473.40565709871038</v>
      </c>
      <c r="Y91" s="5">
        <v>95875.902969774776</v>
      </c>
      <c r="Z91" s="5">
        <v>6.7882387603623293</v>
      </c>
      <c r="AA91" s="5">
        <v>11.373246962712949</v>
      </c>
      <c r="AB91" s="5">
        <v>81.413898001460495</v>
      </c>
      <c r="AC91" s="5">
        <v>-0.20440553550817789</v>
      </c>
      <c r="AD91" s="5">
        <v>437.67666286608278</v>
      </c>
      <c r="AE91" s="5">
        <v>49.703498471685748</v>
      </c>
      <c r="AF91" s="5">
        <v>20.018898741822131</v>
      </c>
      <c r="AG91" s="5">
        <v>93.46</v>
      </c>
      <c r="AH91" s="5">
        <f t="shared" si="32"/>
        <v>3510.7080240119253</v>
      </c>
      <c r="AI91" s="5">
        <f t="shared" si="33"/>
        <v>6.6228776977538359</v>
      </c>
      <c r="AJ91" s="5">
        <v>2.15</v>
      </c>
      <c r="AK91" s="5">
        <v>317.62</v>
      </c>
      <c r="AL91" s="5">
        <f t="shared" si="23"/>
        <v>3060.9010221621634</v>
      </c>
      <c r="AM91" s="5">
        <f t="shared" si="24"/>
        <v>2960.2423358549813</v>
      </c>
      <c r="AN91" s="5">
        <f t="shared" si="25"/>
        <v>449.80700184976195</v>
      </c>
      <c r="AO91" s="5">
        <f t="shared" si="26"/>
        <v>550.465688156944</v>
      </c>
      <c r="AP91" s="5">
        <f t="shared" si="27"/>
        <v>81.713903614191636</v>
      </c>
      <c r="AQ91" s="5">
        <v>5.15</v>
      </c>
      <c r="AR91" s="5">
        <v>4.91</v>
      </c>
      <c r="AS91" s="5">
        <v>32</v>
      </c>
      <c r="AT91" s="5">
        <v>361.87</v>
      </c>
      <c r="AU91" s="5">
        <f t="shared" si="28"/>
        <v>-1.3508442776735474</v>
      </c>
      <c r="AV91" s="5">
        <f t="shared" si="30"/>
        <v>124.95077482722115</v>
      </c>
      <c r="AW91" s="6">
        <f t="shared" si="31"/>
        <v>71.821998112219617</v>
      </c>
      <c r="AX91" s="5">
        <v>162.01</v>
      </c>
      <c r="AY91" s="5">
        <f t="shared" si="35"/>
        <v>692106720</v>
      </c>
      <c r="AZ91" s="5">
        <f t="shared" si="36"/>
        <v>2472.4278212410245</v>
      </c>
      <c r="BA91" s="5">
        <f t="shared" si="29"/>
        <v>2645.4395690573774</v>
      </c>
      <c r="BB91" s="5">
        <v>294.95999999999998</v>
      </c>
      <c r="BC91" s="5">
        <v>279.93</v>
      </c>
      <c r="BD91" s="6">
        <v>4272</v>
      </c>
    </row>
    <row r="92" spans="1:56" x14ac:dyDescent="0.2">
      <c r="A92" s="2">
        <v>91</v>
      </c>
      <c r="B92" s="4">
        <v>45380</v>
      </c>
      <c r="C92" s="5">
        <v>824.13750457763672</v>
      </c>
      <c r="D92" s="5">
        <v>569.09611384073958</v>
      </c>
      <c r="E92" s="5">
        <v>14.244158577918988</v>
      </c>
      <c r="F92" s="5">
        <v>564.24162546793616</v>
      </c>
      <c r="G92" s="5">
        <v>67.396456162134811</v>
      </c>
      <c r="H92" s="5">
        <v>0.1164758037145172</v>
      </c>
      <c r="I92" s="5">
        <v>248.94162877400731</v>
      </c>
      <c r="J92" s="5">
        <v>851.19557444254554</v>
      </c>
      <c r="K92" s="5">
        <v>126.89384688271421</v>
      </c>
      <c r="L92" s="5">
        <v>4.9853318333625793</v>
      </c>
      <c r="M92" s="5">
        <v>567.02402369181334</v>
      </c>
      <c r="N92" s="5">
        <v>14.145607034365336</v>
      </c>
      <c r="O92" s="5">
        <v>564.24162546793616</v>
      </c>
      <c r="P92" s="5">
        <v>1.948541874686877</v>
      </c>
      <c r="Q92" s="5">
        <v>10.670180439949036</v>
      </c>
      <c r="R92" s="5">
        <v>2.175769507884977</v>
      </c>
      <c r="S92" s="5">
        <v>15.652448813120523</v>
      </c>
      <c r="T92" s="5">
        <v>-93.375226338704451</v>
      </c>
      <c r="U92" s="5">
        <v>35.51319678624472</v>
      </c>
      <c r="V92" s="5">
        <v>456.99648340442315</v>
      </c>
      <c r="W92" s="5">
        <v>200.32823632329931</v>
      </c>
      <c r="X92" s="5">
        <v>478.78421776518422</v>
      </c>
      <c r="Y92" s="5">
        <v>97201.135966678339</v>
      </c>
      <c r="Z92" s="5">
        <v>6.6524439137379332</v>
      </c>
      <c r="AA92" s="5">
        <v>11.923145475151067</v>
      </c>
      <c r="AB92" s="5">
        <v>95.834275249550672</v>
      </c>
      <c r="AC92" s="5">
        <v>-0.24159564429904626</v>
      </c>
      <c r="AD92" s="5">
        <v>458.83840732023856</v>
      </c>
      <c r="AE92" s="5">
        <v>49.690939398929743</v>
      </c>
      <c r="AF92" s="5">
        <v>20.979339811022513</v>
      </c>
      <c r="AG92" s="5">
        <v>93.55</v>
      </c>
      <c r="AH92" s="5">
        <f t="shared" ref="AH92:AH93" si="37">h_pt(E92*10,D92)</f>
        <v>3509.1540654553714</v>
      </c>
      <c r="AI92" s="5">
        <f t="shared" ref="AI92:AI93" si="38">s_pt(E92*10,D92)</f>
        <v>6.6153065650045955</v>
      </c>
      <c r="AJ92" s="5">
        <v>2.1800000000000002</v>
      </c>
      <c r="AK92" s="5">
        <v>317.66000000000003</v>
      </c>
      <c r="AL92" s="5">
        <f t="shared" si="23"/>
        <v>3060.2206537835427</v>
      </c>
      <c r="AM92" s="5">
        <f t="shared" si="24"/>
        <v>2959.361156214055</v>
      </c>
      <c r="AN92" s="5">
        <f t="shared" si="25"/>
        <v>448.93341167182871</v>
      </c>
      <c r="AO92" s="5">
        <f t="shared" si="26"/>
        <v>549.79290924131647</v>
      </c>
      <c r="AP92" s="5">
        <f t="shared" si="27"/>
        <v>81.655002115493218</v>
      </c>
      <c r="AQ92" s="5">
        <v>4.87</v>
      </c>
      <c r="AR92" s="5">
        <v>4.7699999999999996</v>
      </c>
      <c r="AS92" s="5">
        <v>33</v>
      </c>
      <c r="AT92" s="5">
        <v>359.34</v>
      </c>
      <c r="AU92" s="5">
        <f t="shared" si="28"/>
        <v>-0.55796652200868246</v>
      </c>
      <c r="AV92" s="5">
        <f t="shared" si="30"/>
        <v>126.36995065088257</v>
      </c>
      <c r="AW92" s="6">
        <f>((AT92-AV92)/(AT92-AS92))*100</f>
        <v>71.38875079644464</v>
      </c>
      <c r="AX92" s="5">
        <v>161.94</v>
      </c>
      <c r="AY92" s="5">
        <f t="shared" si="35"/>
        <v>691807679.99999988</v>
      </c>
      <c r="AZ92" s="5">
        <f t="shared" si="36"/>
        <v>2440.0665914221213</v>
      </c>
      <c r="BA92" s="5">
        <f t="shared" si="29"/>
        <v>2608.3020752775215</v>
      </c>
      <c r="BB92" s="5">
        <v>298.69</v>
      </c>
      <c r="BC92" s="5">
        <v>283.52</v>
      </c>
      <c r="BD92" s="6">
        <v>4272</v>
      </c>
    </row>
    <row r="93" spans="1:56" x14ac:dyDescent="0.2">
      <c r="A93" s="2">
        <v>92</v>
      </c>
      <c r="B93" s="4">
        <v>45381</v>
      </c>
      <c r="C93" s="5">
        <v>815.93756612141931</v>
      </c>
      <c r="D93" s="5">
        <v>568.75147628784225</v>
      </c>
      <c r="E93" s="5">
        <v>14.218128633499141</v>
      </c>
      <c r="F93" s="5">
        <v>565.21448262532556</v>
      </c>
      <c r="G93" s="5">
        <v>54.370843887329102</v>
      </c>
      <c r="H93" s="5">
        <v>0.17442643006521999</v>
      </c>
      <c r="I93" s="5">
        <v>248.39506435394298</v>
      </c>
      <c r="J93" s="5">
        <v>842.24097442626953</v>
      </c>
      <c r="K93" s="5">
        <v>128.9061164326138</v>
      </c>
      <c r="L93" s="5">
        <v>5.0088764031728106</v>
      </c>
      <c r="M93" s="5">
        <v>566.68298721313511</v>
      </c>
      <c r="N93" s="5">
        <v>14.119626442591349</v>
      </c>
      <c r="O93" s="5">
        <v>565.21448262532556</v>
      </c>
      <c r="P93" s="5">
        <v>1.9288406471411388</v>
      </c>
      <c r="Q93" s="5">
        <v>10.547257741292318</v>
      </c>
      <c r="R93" s="5">
        <v>2.1536724219719541</v>
      </c>
      <c r="S93" s="5">
        <v>15.665323495864868</v>
      </c>
      <c r="T93" s="5">
        <v>-93.246924082438156</v>
      </c>
      <c r="U93" s="5">
        <v>35.888690074284874</v>
      </c>
      <c r="V93" s="5">
        <v>451.42300081478305</v>
      </c>
      <c r="W93" s="5">
        <v>149.82348965651036</v>
      </c>
      <c r="X93" s="5">
        <v>484.51490040176276</v>
      </c>
      <c r="Y93" s="5">
        <v>96291.775920053304</v>
      </c>
      <c r="Z93" s="5">
        <v>6.7494156565183312</v>
      </c>
      <c r="AA93" s="5">
        <v>11.814512162361645</v>
      </c>
      <c r="AB93" s="5">
        <v>96.792443162714747</v>
      </c>
      <c r="AC93" s="5">
        <v>-0.23856006235219462</v>
      </c>
      <c r="AD93" s="5">
        <v>454.65787154416347</v>
      </c>
      <c r="AE93" s="5">
        <v>49.684641392645744</v>
      </c>
      <c r="AF93" s="5">
        <v>29.833527737680967</v>
      </c>
      <c r="AG93" s="5">
        <v>93.38</v>
      </c>
      <c r="AH93" s="5">
        <f t="shared" si="37"/>
        <v>3508.4979347871504</v>
      </c>
      <c r="AI93" s="5">
        <f t="shared" si="38"/>
        <v>6.6153036158383136</v>
      </c>
      <c r="AJ93" s="5">
        <v>2.15</v>
      </c>
      <c r="AK93" s="5">
        <v>317.55</v>
      </c>
      <c r="AL93" s="5">
        <f t="shared" si="23"/>
        <v>3060.7398338159533</v>
      </c>
      <c r="AM93" s="5">
        <f t="shared" si="24"/>
        <v>2956.0965196381289</v>
      </c>
      <c r="AN93" s="5">
        <f t="shared" si="25"/>
        <v>447.75810097119711</v>
      </c>
      <c r="AO93" s="5">
        <f t="shared" si="26"/>
        <v>552.40141514902143</v>
      </c>
      <c r="AP93" s="5">
        <f t="shared" si="27"/>
        <v>81.056653493620274</v>
      </c>
      <c r="AQ93" s="5">
        <v>4.95</v>
      </c>
      <c r="AR93" s="5">
        <v>4.97</v>
      </c>
      <c r="AS93" s="5">
        <v>33</v>
      </c>
      <c r="AT93" s="5">
        <v>361.03</v>
      </c>
      <c r="AU93" s="5">
        <f t="shared" si="28"/>
        <v>0.11299435028248346</v>
      </c>
      <c r="AV93" s="5">
        <f t="shared" si="30"/>
        <v>129.01448492575798</v>
      </c>
      <c r="AW93" s="6">
        <f t="shared" si="31"/>
        <v>70.729968318215413</v>
      </c>
      <c r="AX93" s="5">
        <v>162.18</v>
      </c>
      <c r="AY93" s="5">
        <f>+AX93*BD93*1000</f>
        <v>692832960.00000012</v>
      </c>
      <c r="AZ93" s="5">
        <f>+AY93/(BC93*1000)</f>
        <v>2478.918601738882</v>
      </c>
      <c r="BA93" s="5">
        <f t="shared" si="29"/>
        <v>2654.6568877049499</v>
      </c>
      <c r="BB93" s="5">
        <v>294.97000000000003</v>
      </c>
      <c r="BC93" s="5">
        <v>279.49</v>
      </c>
      <c r="BD93" s="6">
        <v>4272</v>
      </c>
    </row>
    <row r="94" spans="1:56" x14ac:dyDescent="0.2">
      <c r="A94" s="2">
        <v>93</v>
      </c>
      <c r="B94" s="4">
        <v>45382</v>
      </c>
      <c r="C94" s="5">
        <v>829.57310485839844</v>
      </c>
      <c r="D94" s="5">
        <v>568.89203135172556</v>
      </c>
      <c r="E94" s="5">
        <v>14.316919819513954</v>
      </c>
      <c r="F94" s="5">
        <v>565.2117029825846</v>
      </c>
      <c r="G94" s="5">
        <v>58.22409200668335</v>
      </c>
      <c r="H94" s="5">
        <v>0.1874194007630888</v>
      </c>
      <c r="I94" s="5">
        <v>249.26520888010671</v>
      </c>
      <c r="J94" s="5">
        <v>856.55303446451819</v>
      </c>
      <c r="K94" s="5">
        <v>129.97010776731705</v>
      </c>
      <c r="L94" s="5">
        <v>4.7130063772201538</v>
      </c>
      <c r="M94" s="5">
        <v>566.71702448527014</v>
      </c>
      <c r="N94" s="5">
        <v>14.218170563379923</v>
      </c>
      <c r="O94" s="5">
        <v>565.2117029825846</v>
      </c>
      <c r="P94" s="5">
        <v>1.9613300959269206</v>
      </c>
      <c r="Q94" s="5">
        <v>10.7367635567983</v>
      </c>
      <c r="R94" s="5">
        <v>2.1899006664752947</v>
      </c>
      <c r="S94" s="5">
        <v>15.782866716384888</v>
      </c>
      <c r="T94" s="5">
        <v>-93.098273330264604</v>
      </c>
      <c r="U94" s="5">
        <v>36.310542345047011</v>
      </c>
      <c r="V94" s="5">
        <v>471.21072474581143</v>
      </c>
      <c r="W94" s="5">
        <v>148.7614769943157</v>
      </c>
      <c r="X94" s="5">
        <v>490.04099197203738</v>
      </c>
      <c r="Y94" s="5">
        <v>98132.303005218797</v>
      </c>
      <c r="Z94" s="5">
        <v>6.3953533073014173</v>
      </c>
      <c r="AA94" s="5">
        <v>11.903353300193039</v>
      </c>
      <c r="AB94" s="5">
        <v>102.48412858148049</v>
      </c>
      <c r="AC94" s="5">
        <v>-0.25091257373407161</v>
      </c>
      <c r="AD94" s="5">
        <v>458.07674505132849</v>
      </c>
      <c r="AE94" s="5">
        <v>49.680440271493048</v>
      </c>
      <c r="AF94" s="5">
        <v>33.981491436881164</v>
      </c>
      <c r="AG94" s="5">
        <v>93.4</v>
      </c>
      <c r="AH94" s="5">
        <f t="shared" ref="AH94" si="39">h_pt(E94*10,D94)</f>
        <v>3507.9096776737183</v>
      </c>
      <c r="AI94" s="5">
        <f t="shared" ref="AI94" si="40">s_pt(E94*10,D94)</f>
        <v>6.6116672381193018</v>
      </c>
      <c r="AJ94" s="5">
        <v>2.19</v>
      </c>
      <c r="AK94" s="5">
        <v>317.18</v>
      </c>
      <c r="AL94" s="5">
        <f t="shared" ref="AL94" si="41">h_pt(AJ94*10,AK94)</f>
        <v>3058.8541039078737</v>
      </c>
      <c r="AM94" s="5">
        <f t="shared" ref="AM94" si="42">h_ps(AJ94*10,AI94)</f>
        <v>2958.4450901675591</v>
      </c>
      <c r="AN94" s="5">
        <f t="shared" ref="AN94" si="43">+AH94-AL94</f>
        <v>449.05557376584466</v>
      </c>
      <c r="AO94" s="5">
        <f t="shared" ref="AO94" si="44">+AH94-AM94</f>
        <v>549.46458750615921</v>
      </c>
      <c r="AP94" s="5">
        <f t="shared" ref="AP94" si="45">+(AN94/AO94)*100</f>
        <v>81.726026385787961</v>
      </c>
      <c r="AQ94" s="5">
        <v>4.7300000000000004</v>
      </c>
      <c r="AR94" s="5">
        <v>5.23</v>
      </c>
      <c r="AS94" s="5">
        <v>30</v>
      </c>
      <c r="AT94" s="5">
        <v>359.22</v>
      </c>
      <c r="AU94" s="5">
        <f t="shared" si="28"/>
        <v>2.8717294192724956</v>
      </c>
      <c r="AV94" s="5">
        <f t="shared" si="30"/>
        <v>132.8409787625495</v>
      </c>
      <c r="AW94" s="6">
        <f t="shared" si="31"/>
        <v>68.762232318039764</v>
      </c>
      <c r="AX94" s="5">
        <v>167.61</v>
      </c>
      <c r="AY94" s="5">
        <f>+AX94*BD94*1000</f>
        <v>716029920</v>
      </c>
      <c r="AZ94" s="5">
        <f>+AY94/(BC94*1000)</f>
        <v>2516.3588824459675</v>
      </c>
      <c r="BA94" s="5">
        <f t="shared" si="29"/>
        <v>2694.1743923404365</v>
      </c>
      <c r="BB94" s="5">
        <v>297.2</v>
      </c>
      <c r="BC94" s="5">
        <v>284.55</v>
      </c>
      <c r="BD94" s="6">
        <v>4272</v>
      </c>
    </row>
    <row r="95" spans="1:56" s="9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Ainal Irham</cp:lastModifiedBy>
  <dcterms:created xsi:type="dcterms:W3CDTF">2024-03-29T03:04:02Z</dcterms:created>
  <dcterms:modified xsi:type="dcterms:W3CDTF">2024-04-06T02:36:55Z</dcterms:modified>
</cp:coreProperties>
</file>